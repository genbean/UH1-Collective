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ard BOM" sheetId="1" state="visible" r:id="rId1"/>
  </sheets>
  <definedNames>
    <definedName name="_xlnm.Print_Titles" localSheetId="0">'Board BOM'!$5:$5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-&quot;$&quot;#,##0.00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b val="1"/>
      <color rgb="000000FF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top"/>
    </xf>
    <xf numFmtId="0" fontId="2" fillId="0" borderId="0" pivotButton="0" quotePrefix="0" xfId="0"/>
    <xf numFmtId="0" fontId="5" fillId="3" borderId="1" applyAlignment="1" pivotButton="0" quotePrefix="0" xfId="0">
      <alignment vertical="center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igikey.com/en/products/result?keywords=296-8250-1-ND" TargetMode="External" Id="rId1" /><Relationship Type="http://schemas.openxmlformats.org/officeDocument/2006/relationships/hyperlink" Target="https://www.digikey.com/en/products/result?keywords=4609X-101-103LF-ND" TargetMode="External" Id="rId2" /><Relationship Type="http://schemas.openxmlformats.org/officeDocument/2006/relationships/hyperlink" Target="https://www.digikey.com/en/products/result?keywords=1276-1017-1-ND" TargetMode="External" Id="rId3" /><Relationship Type="http://schemas.openxmlformats.org/officeDocument/2006/relationships/hyperlink" Target="https://www.digikey.com/en/products/result?keywords=1276-1287-1-ND" TargetMode="External" Id="rId4" /><Relationship Type="http://schemas.openxmlformats.org/officeDocument/2006/relationships/hyperlink" Target="https://www.digikey.com/en/products/result?keywords=311-1.00KCRCT-ND" TargetMode="External" Id="rId5" /><Relationship Type="http://schemas.openxmlformats.org/officeDocument/2006/relationships/hyperlink" Target="https://www.digikey.com/en/products/result?keywords=EG4344CT-ND" TargetMode="External" Id="rId6" /><Relationship Type="http://schemas.openxmlformats.org/officeDocument/2006/relationships/hyperlink" Target="https://www.digikey.com/en/products/result?keywords=455-BM10B-SRSS-TBTCT-ND" TargetMode="External" Id="rId7" /><Relationship Type="http://schemas.openxmlformats.org/officeDocument/2006/relationships/hyperlink" Target="https://www.digikey.com/en/products/result?keywords=455-BM03B-SRSS-TBTCT-ND" TargetMode="External" Id="rId8" /><Relationship Type="http://schemas.openxmlformats.org/officeDocument/2006/relationships/hyperlink" Target="https://www.digikey.com/en/products/result?keywords=S6100-ND" TargetMode="External" Id="rId9" /><Relationship Type="http://schemas.openxmlformats.org/officeDocument/2006/relationships/hyperlink" Target="https://www.digikey.com/en/products/result?keywords=1568-12640-ND" TargetMode="External" Id="rId10" /><Relationship Type="http://schemas.openxmlformats.org/officeDocument/2006/relationships/hyperlink" Target="https://www.digikey.com/en/products/result?keywords=35-PRPC012SAAN-RC-ND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13" customWidth="1" min="5" max="5"/>
    <col width="36" customWidth="1" min="6" max="6"/>
    <col width="30" customWidth="1" min="7" max="7"/>
    <col width="15" customWidth="1" min="8" max="8"/>
    <col width="18" customWidth="1" min="9" max="9"/>
    <col width="25" customWidth="1" min="10" max="10"/>
    <col width="9" customWidth="1" min="11" max="11"/>
    <col width="10" customWidth="1" min="12" max="12"/>
    <col width="46" customWidth="1" min="13" max="13"/>
  </cols>
  <sheetData>
    <row r="1">
      <c r="A1" s="1" t="inlineStr">
        <is>
          <t>HeliSR Rev 3.0 - board BOM</t>
        </is>
      </c>
    </row>
    <row r="2" ht="42" customHeight="1">
      <c r="A2" s="2" t="inlineStr">
        <is>
          <t>The parts you solder onto the bare HeliSR Rev 3.0 PCB, checked against the board file. The bare PCB was ordered from OSH Park on 2026-10-21 with no parts fitted; these parts come from Digi-Key. The Pro Micro and its pin headers are listed separately at the end. For ordering, BOM/Heli_Collective_Final_BOM.xlsx supersedes this list. Unit prices are single-unit Digi-Key prices from the Rev 3.0 cart on 2026-10-19 (R1, R2: catalogue price on 2026-10-20; JST headers: the cart on 2026-10-22), as in HeliSR_Rev3.0_BOM.xlsx, before shipping and tariff. The bare PCB is priced at a third of the OSH Park order ($10.20 for three).</t>
        </is>
      </c>
    </row>
    <row r="3">
      <c r="A3" s="3" t="inlineStr">
        <is>
          <t>Boards to build</t>
        </is>
      </c>
      <c r="C3" s="4" t="n">
        <v>1</v>
      </c>
      <c r="D3" s="5" t="inlineStr">
        <is>
          <t>Edit the yellow cell. Quantities to order and prices follow from it.</t>
        </is>
      </c>
    </row>
    <row r="5" ht="28" customHeight="1">
      <c r="A5" s="6" t="inlineStr">
        <is>
          <t>#</t>
        </is>
      </c>
      <c r="B5" s="6" t="inlineStr">
        <is>
          <t>Reference</t>
        </is>
      </c>
      <c r="C5" s="6" t="inlineStr">
        <is>
          <t>Qty per board</t>
        </is>
      </c>
      <c r="D5" s="6" t="inlineStr">
        <is>
          <t>Qty to order</t>
        </is>
      </c>
      <c r="E5" s="6" t="inlineStr">
        <is>
          <t>Value</t>
        </is>
      </c>
      <c r="F5" s="6" t="inlineStr">
        <is>
          <t>Description</t>
        </is>
      </c>
      <c r="G5" s="6" t="inlineStr">
        <is>
          <t>Footprint</t>
        </is>
      </c>
      <c r="H5" s="6" t="inlineStr">
        <is>
          <t>Manufacturer</t>
        </is>
      </c>
      <c r="I5" s="6" t="inlineStr">
        <is>
          <t>Mfr part number</t>
        </is>
      </c>
      <c r="J5" s="6" t="inlineStr">
        <is>
          <t>Digi-Key part number</t>
        </is>
      </c>
      <c r="K5" s="6" t="inlineStr">
        <is>
          <t>Unit price</t>
        </is>
      </c>
      <c r="L5" s="6" t="inlineStr">
        <is>
          <t>Ext. price</t>
        </is>
      </c>
      <c r="M5" s="6" t="inlineStr">
        <is>
          <t>Notes</t>
        </is>
      </c>
    </row>
    <row r="6">
      <c r="A6" s="7" t="inlineStr">
        <is>
          <t>Soldered to the board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9" t="n"/>
    </row>
    <row r="7">
      <c r="A7" s="10" t="n">
        <v>1</v>
      </c>
      <c r="B7" s="11" t="inlineStr">
        <is>
          <t>U1, U2</t>
        </is>
      </c>
      <c r="C7" s="10" t="n">
        <v>2</v>
      </c>
      <c r="D7" s="10">
        <f>C7*$C$3</f>
        <v/>
      </c>
      <c r="E7" s="11" t="inlineStr">
        <is>
          <t>74HC165</t>
        </is>
      </c>
      <c r="F7" s="11" t="inlineStr">
        <is>
          <t>Shift register, 74HC165, SOIC-16</t>
        </is>
      </c>
      <c r="G7" s="11" t="inlineStr">
        <is>
          <t>SOIC-16_3.9x9.9mm_P1.27mm</t>
        </is>
      </c>
      <c r="H7" s="11" t="inlineStr">
        <is>
          <t>Texas Instruments</t>
        </is>
      </c>
      <c r="I7" s="11" t="inlineStr">
        <is>
          <t>SN74HC165DR</t>
        </is>
      </c>
      <c r="J7" s="12" t="inlineStr">
        <is>
          <t>296-8250-1-ND</t>
        </is>
      </c>
      <c r="K7" s="13" t="n">
        <v>0.5</v>
      </c>
      <c r="L7" s="13">
        <f>IF(K7="","",D7*K7)</f>
        <v/>
      </c>
      <c r="M7" s="11" t="inlineStr">
        <is>
          <t>Under the Pro Micro: fit before the sockets</t>
        </is>
      </c>
    </row>
    <row r="8">
      <c r="A8" s="10" t="n">
        <v>2</v>
      </c>
      <c r="B8" s="11" t="inlineStr">
        <is>
          <t>RN1, RN2</t>
        </is>
      </c>
      <c r="C8" s="10" t="n">
        <v>2</v>
      </c>
      <c r="D8" s="10">
        <f>C8*$C$3</f>
        <v/>
      </c>
      <c r="E8" s="11" t="inlineStr">
        <is>
          <t>10k x8 bussed</t>
        </is>
      </c>
      <c r="F8" s="11" t="inlineStr">
        <is>
          <t>Resistor network, 8 x 10 kOhm bussed, SIP-9</t>
        </is>
      </c>
      <c r="G8" s="11" t="inlineStr">
        <is>
          <t>R_Array_SIP9</t>
        </is>
      </c>
      <c r="H8" s="11" t="inlineStr">
        <is>
          <t>Bourns</t>
        </is>
      </c>
      <c r="I8" s="11" t="inlineStr">
        <is>
          <t>4609X-101-103LF</t>
        </is>
      </c>
      <c r="J8" s="12" t="inlineStr">
        <is>
          <t>4609X-101-103LF-ND</t>
        </is>
      </c>
      <c r="K8" s="13" t="n">
        <v>0.39</v>
      </c>
      <c r="L8" s="13">
        <f>IF(K8="","",D8*K8)</f>
        <v/>
      </c>
      <c r="M8" s="11" t="inlineStr">
        <is>
          <t>Pin 1 (dot) is the common pin: it goes in the square pad. Keep upright</t>
        </is>
      </c>
    </row>
    <row r="9">
      <c r="A9" s="10" t="n">
        <v>3</v>
      </c>
      <c r="B9" s="11" t="inlineStr">
        <is>
          <t>C1, C2</t>
        </is>
      </c>
      <c r="C9" s="10" t="n">
        <v>2</v>
      </c>
      <c r="D9" s="10">
        <f>C9*$C$3</f>
        <v/>
      </c>
      <c r="E9" s="11" t="inlineStr">
        <is>
          <t>100nF</t>
        </is>
      </c>
      <c r="F9" s="11" t="inlineStr">
        <is>
          <t>Capacitor, 100 nF, 50 V, X7R, 1206</t>
        </is>
      </c>
      <c r="G9" s="11" t="inlineStr">
        <is>
          <t>C_1206_3216Metric</t>
        </is>
      </c>
      <c r="H9" s="11" t="inlineStr">
        <is>
          <t>Samsung</t>
        </is>
      </c>
      <c r="I9" s="11" t="inlineStr">
        <is>
          <t>CL31B104KBCNNNC</t>
        </is>
      </c>
      <c r="J9" s="12" t="inlineStr">
        <is>
          <t>1276-1017-1-ND</t>
        </is>
      </c>
      <c r="K9" s="13" t="n">
        <v>0.14</v>
      </c>
      <c r="L9" s="13">
        <f>IF(K9="","",D9*K9)</f>
        <v/>
      </c>
      <c r="M9" s="11" t="inlineStr">
        <is>
          <t>Decoupling: C1 beside U1's VCC pin, C2 beside U2's</t>
        </is>
      </c>
    </row>
    <row r="10">
      <c r="A10" s="10" t="n">
        <v>4</v>
      </c>
      <c r="B10" s="11" t="inlineStr">
        <is>
          <t>C3</t>
        </is>
      </c>
      <c r="C10" s="10" t="n">
        <v>1</v>
      </c>
      <c r="D10" s="10">
        <f>C10*$C$3</f>
        <v/>
      </c>
      <c r="E10" s="11" t="inlineStr">
        <is>
          <t>22uF</t>
        </is>
      </c>
      <c r="F10" s="11" t="inlineStr">
        <is>
          <t>Capacitor, 22 uF, 10 V, X5R, 1206</t>
        </is>
      </c>
      <c r="G10" s="11" t="inlineStr">
        <is>
          <t>C_1206_3216Metric</t>
        </is>
      </c>
      <c r="H10" s="11" t="inlineStr">
        <is>
          <t>Samsung</t>
        </is>
      </c>
      <c r="I10" s="11" t="inlineStr">
        <is>
          <t>CL31A226KPHNNNE</t>
        </is>
      </c>
      <c r="J10" s="12" t="inlineStr">
        <is>
          <t>1276-1287-1-ND</t>
        </is>
      </c>
      <c r="K10" s="13" t="n">
        <v>0.47</v>
      </c>
      <c r="L10" s="13">
        <f>IF(K10="","",D10*K10)</f>
        <v/>
      </c>
      <c r="M10" s="11" t="inlineStr">
        <is>
          <t>Bulk supply capacitor, between U1 and U2</t>
        </is>
      </c>
    </row>
    <row r="11">
      <c r="A11" s="10" t="n">
        <v>5</v>
      </c>
      <c r="B11" s="11" t="inlineStr">
        <is>
          <t>R1, R2</t>
        </is>
      </c>
      <c r="C11" s="10" t="n">
        <v>2</v>
      </c>
      <c r="D11" s="10">
        <f>C11*$C$3</f>
        <v/>
      </c>
      <c r="E11" s="11" t="inlineStr">
        <is>
          <t>1k</t>
        </is>
      </c>
      <c r="F11" s="11" t="inlineStr">
        <is>
          <t>Resistor, 1 kOhm, 1 %, 1/8 W, 0805</t>
        </is>
      </c>
      <c r="G11" s="11" t="inlineStr">
        <is>
          <t>R_0805_2012Metric</t>
        </is>
      </c>
      <c r="H11" s="11" t="inlineStr">
        <is>
          <t>YAGEO</t>
        </is>
      </c>
      <c r="I11" s="11" t="inlineStr">
        <is>
          <t>RC0805FR-071KL</t>
        </is>
      </c>
      <c r="J11" s="12" t="inlineStr">
        <is>
          <t>311-1.00KCRCT-ND</t>
        </is>
      </c>
      <c r="K11" s="13" t="n">
        <v>0.1</v>
      </c>
      <c r="L11" s="13">
        <f>IF(K11="","",D11*K11)</f>
        <v/>
      </c>
      <c r="M11" s="11" t="inlineStr">
        <is>
          <t>In series with PROG1 (R1) and PROG4 (R2)</t>
        </is>
      </c>
    </row>
    <row r="12">
      <c r="A12" s="10" t="n">
        <v>6</v>
      </c>
      <c r="B12" s="11" t="inlineStr">
        <is>
          <t>SW1-SW3</t>
        </is>
      </c>
      <c r="C12" s="10" t="n">
        <v>3</v>
      </c>
      <c r="D12" s="10">
        <f>C12*$C$3</f>
        <v/>
      </c>
      <c r="E12" s="11" t="inlineStr">
        <is>
          <t>TL1015AF160QG</t>
        </is>
      </c>
      <c r="F12" s="11" t="inlineStr">
        <is>
          <t>Tactile switch, SMD, 3.9 x 2.9 mm, gull wing</t>
        </is>
      </c>
      <c r="G12" s="11" t="inlineStr">
        <is>
          <t>SW_TL1015AF160QG</t>
        </is>
      </c>
      <c r="H12" s="11" t="inlineStr">
        <is>
          <t>E-Switch</t>
        </is>
      </c>
      <c r="I12" s="11" t="inlineStr">
        <is>
          <t>TL1015AF160QG</t>
        </is>
      </c>
      <c r="J12" s="12" t="inlineStr">
        <is>
          <t>EG4344CT-ND</t>
        </is>
      </c>
      <c r="K12" s="13" t="n">
        <v>0.48</v>
      </c>
      <c r="L12" s="13">
        <f>IF(K12="","",D12*K12)</f>
        <v/>
      </c>
      <c r="M12" s="11" t="inlineStr">
        <is>
          <t>SW1 RST, SW2 PROG1 (AX1), SW3 PROG4 (AX4). The four ground tabs are left unsoldered</t>
        </is>
      </c>
    </row>
    <row r="13">
      <c r="A13" s="10" t="n">
        <v>7</v>
      </c>
      <c r="B13" s="11" t="inlineStr">
        <is>
          <t>J1, J2</t>
        </is>
      </c>
      <c r="C13" s="10" t="n">
        <v>2</v>
      </c>
      <c r="D13" s="10">
        <f>C13*$C$3</f>
        <v/>
      </c>
      <c r="E13" s="11" t="inlineStr">
        <is>
          <t>Inputs 1-8, Inputs 9-16</t>
        </is>
      </c>
      <c r="F13" s="11" t="inlineStr">
        <is>
          <t>JST SR/SH header, 10-pin, 1.0 mm, SMD, top entry</t>
        </is>
      </c>
      <c r="G13" s="11" t="inlineStr">
        <is>
          <t>JST_SH_BM10B-SRSS-TB_1x10-1MP_P1.00mm_Vertical</t>
        </is>
      </c>
      <c r="H13" s="11" t="inlineStr">
        <is>
          <t>JST</t>
        </is>
      </c>
      <c r="I13" s="11" t="inlineStr">
        <is>
          <t>BM10B-SRSS-TBT</t>
        </is>
      </c>
      <c r="J13" s="12" t="inlineStr">
        <is>
          <t>455-BM10B-SRSS-TBTCT-ND</t>
        </is>
      </c>
      <c r="K13" s="13" t="n">
        <v>1.19</v>
      </c>
      <c r="L13" s="13">
        <f>IF(K13="","",D13*K13)</f>
        <v/>
      </c>
      <c r="M13" s="11" t="inlineStr">
        <is>
          <t>Switch inputs: J1 IN1-IN8, J2 IN9-IN16. Digi-Key estimates $0.33 tariff each on top</t>
        </is>
      </c>
    </row>
    <row r="14">
      <c r="A14" s="10" t="n">
        <v>8</v>
      </c>
      <c r="B14" s="11" t="inlineStr">
        <is>
          <t>J11-J14</t>
        </is>
      </c>
      <c r="C14" s="10" t="n">
        <v>4</v>
      </c>
      <c r="D14" s="10">
        <f>C14*$C$3</f>
        <v/>
      </c>
      <c r="E14" s="11" t="inlineStr">
        <is>
          <t>AX1, AX2, AX3, AX4</t>
        </is>
      </c>
      <c r="F14" s="11" t="inlineStr">
        <is>
          <t>JST SR/SH header, 3-pin, 1.0 mm, SMD, top entry</t>
        </is>
      </c>
      <c r="G14" s="11" t="inlineStr">
        <is>
          <t>JST_SH_BM03B-SRSS-TB_1x03-1MP_P1.00mm_Vertical</t>
        </is>
      </c>
      <c r="H14" s="11" t="inlineStr">
        <is>
          <t>JST</t>
        </is>
      </c>
      <c r="I14" s="11" t="inlineStr">
        <is>
          <t>BM03B-SRSS-TBT</t>
        </is>
      </c>
      <c r="J14" s="12" t="inlineStr">
        <is>
          <t>455-BM03B-SRSS-TBTCT-ND</t>
        </is>
      </c>
      <c r="K14" s="13" t="n">
        <v>0.68</v>
      </c>
      <c r="L14" s="13">
        <f>IF(K14="","",D14*K14)</f>
        <v/>
      </c>
      <c r="M14" s="11" t="inlineStr">
        <is>
          <t>Analog inputs AX1-AX4 (J11-J14). Digi-Key estimates $0.26 tariff each on top. Fit all four, or only the inputs you use</t>
        </is>
      </c>
    </row>
    <row r="15">
      <c r="A15" s="10" t="n">
        <v>9</v>
      </c>
      <c r="B15" s="11" t="inlineStr">
        <is>
          <t>J7, J8</t>
        </is>
      </c>
      <c r="C15" s="10" t="n">
        <v>2</v>
      </c>
      <c r="D15" s="10">
        <f>C15*$C$3</f>
        <v/>
      </c>
      <c r="E15" s="11" t="inlineStr">
        <is>
          <t>Pro Micro pins 1-12, Pro Micro pins 13-24</t>
        </is>
      </c>
      <c r="F15" s="11" t="inlineStr">
        <is>
          <t>Socket header, female, 1x12, 2.54 mm, through hole</t>
        </is>
      </c>
      <c r="G15" s="11" t="inlineStr">
        <is>
          <t>PinSocket_1x12_P2.54mm_Vertical</t>
        </is>
      </c>
      <c r="H15" s="11" t="inlineStr">
        <is>
          <t>Sullins</t>
        </is>
      </c>
      <c r="I15" s="11" t="inlineStr">
        <is>
          <t>PPTC121LFBN-RC</t>
        </is>
      </c>
      <c r="J15" s="12" t="inlineStr">
        <is>
          <t>S6100-ND</t>
        </is>
      </c>
      <c r="K15" s="13" t="n">
        <v>0.75</v>
      </c>
      <c r="L15" s="13">
        <f>IF(K15="","",D15*K15)</f>
        <v/>
      </c>
      <c r="M15" s="11" t="inlineStr">
        <is>
          <t>Pro Micro sockets. Fit last</t>
        </is>
      </c>
    </row>
    <row r="16">
      <c r="A16" s="10" t="n">
        <v>10</v>
      </c>
      <c r="B16" s="11" t="inlineStr">
        <is>
          <t>PCB</t>
        </is>
      </c>
      <c r="C16" s="10" t="n">
        <v>1</v>
      </c>
      <c r="D16" s="10">
        <f>C16*$C$3</f>
        <v/>
      </c>
      <c r="E16" s="11" t="inlineStr">
        <is>
          <t>HeliSR Rev 3.0</t>
        </is>
      </c>
      <c r="F16" s="11" t="inlineStr">
        <is>
          <t>Bare PCB (no parts fitted), 2 layers, 1.6 mm FR4, 39.3 x 33.64 mm</t>
        </is>
      </c>
      <c r="G16" s="11" t="inlineStr"/>
      <c r="H16" s="11" t="inlineStr">
        <is>
          <t>OSH Park</t>
        </is>
      </c>
      <c r="I16" s="11" t="inlineStr"/>
      <c r="J16" s="11" t="inlineStr"/>
      <c r="K16" s="13" t="n">
        <v>3.4</v>
      </c>
      <c r="L16" s="13">
        <f>IF(K16="","",D16*K16)</f>
        <v/>
      </c>
      <c r="M16" s="11" t="inlineStr">
        <is>
          <t>Ordered from OSH Park on 2026-10-21: $10.20 for three bare boards, due back about 2026-10-29</t>
        </is>
      </c>
    </row>
    <row r="17">
      <c r="K17" s="3" t="inlineStr">
        <is>
          <t>Subtotal</t>
        </is>
      </c>
      <c r="L17" s="14">
        <f>SUM(L7:L16)</f>
        <v/>
      </c>
    </row>
    <row r="18">
      <c r="A18" s="7" t="inlineStr">
        <is>
          <t>Plugs into the board (the Pro Micro and its headers)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9" t="n"/>
    </row>
    <row r="19">
      <c r="A19" s="10" t="n">
        <v>11</v>
      </c>
      <c r="B19" s="11" t="inlineStr">
        <is>
          <t>Module</t>
        </is>
      </c>
      <c r="C19" s="10" t="n">
        <v>1</v>
      </c>
      <c r="D19" s="10">
        <f>C19*$C$3</f>
        <v/>
      </c>
      <c r="E19" s="11" t="inlineStr"/>
      <c r="F19" s="11" t="inlineStr">
        <is>
          <t>Pro Micro 5V/16 MHz, ATmega32U4</t>
        </is>
      </c>
      <c r="G19" s="11" t="inlineStr"/>
      <c r="H19" s="11" t="inlineStr">
        <is>
          <t>SparkFun</t>
        </is>
      </c>
      <c r="I19" s="11" t="inlineStr">
        <is>
          <t>12640</t>
        </is>
      </c>
      <c r="J19" s="12" t="inlineStr">
        <is>
          <t>1568-12640-ND</t>
        </is>
      </c>
      <c r="K19" s="13" t="n">
        <v>23.99</v>
      </c>
      <c r="L19" s="13">
        <f>IF(K19="","",D19*K19)</f>
        <v/>
      </c>
      <c r="M19" s="11" t="inlineStr">
        <is>
          <t>Runs MMJoy2. Plugs into J7/J8</t>
        </is>
      </c>
    </row>
    <row r="20">
      <c r="A20" s="10" t="n">
        <v>12</v>
      </c>
      <c r="B20" s="11" t="inlineStr">
        <is>
          <t>Module</t>
        </is>
      </c>
      <c r="C20" s="10" t="n">
        <v>2</v>
      </c>
      <c r="D20" s="10">
        <f>C20*$C$3</f>
        <v/>
      </c>
      <c r="E20" s="11" t="inlineStr"/>
      <c r="F20" s="11" t="inlineStr">
        <is>
          <t>Pin header, male, 1x12, 2.54 mm</t>
        </is>
      </c>
      <c r="G20" s="11" t="inlineStr"/>
      <c r="H20" s="11" t="inlineStr">
        <is>
          <t>Sullins</t>
        </is>
      </c>
      <c r="I20" s="11" t="inlineStr">
        <is>
          <t>PRPC012SAAN-RC</t>
        </is>
      </c>
      <c r="J20" s="12" t="inlineStr">
        <is>
          <t>35-PRPC012SAAN-RC-ND</t>
        </is>
      </c>
      <c r="K20" s="13" t="n">
        <v>0.24</v>
      </c>
      <c r="L20" s="13">
        <f>IF(K20="","",D20*K20)</f>
        <v/>
      </c>
      <c r="M20" s="11" t="inlineStr">
        <is>
          <t>Soldered to the Pro Micro</t>
        </is>
      </c>
    </row>
    <row r="21">
      <c r="K21" s="3" t="inlineStr">
        <is>
          <t>Subtotal</t>
        </is>
      </c>
      <c r="L21" s="14">
        <f>SUM(L19:L20)</f>
        <v/>
      </c>
    </row>
    <row r="22">
      <c r="K22" s="3" t="inlineStr">
        <is>
          <t>Total</t>
        </is>
      </c>
      <c r="L22" s="14">
        <f>L17+L21</f>
        <v/>
      </c>
    </row>
    <row r="23">
      <c r="A23" s="5" t="inlineStr">
        <is>
          <t>The bare PCB counts as a third of the OSH Park order ($10.20 for three).</t>
        </is>
      </c>
    </row>
  </sheetData>
  <mergeCells count="6">
    <mergeCell ref="A23:M23"/>
    <mergeCell ref="A6:M6"/>
    <mergeCell ref="D3:M3"/>
    <mergeCell ref="A18:M18"/>
    <mergeCell ref="A2:M2"/>
    <mergeCell ref="A3:B3"/>
  </mergeCells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15" r:id="rId9"/>
    <hyperlink xmlns:r="http://schemas.openxmlformats.org/officeDocument/2006/relationships" ref="J19" r:id="rId10"/>
    <hyperlink xmlns:r="http://schemas.openxmlformats.org/officeDocument/2006/relationships" ref="J20" r:id="rId1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2026-10-22T06:40:45Z</dcterms:created>
  <dcterms:modified xsi:type="dcterms:W3CDTF">2026-10-22T06:40:45Z</dcterms:modified>
</cp:coreProperties>
</file>