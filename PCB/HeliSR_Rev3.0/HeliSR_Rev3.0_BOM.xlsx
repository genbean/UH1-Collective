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-Key order" sheetId="1" state="visible" r:id="rId1"/>
    <sheet name="MkII collective hardware" sheetId="2" state="visible" r:id="rId2"/>
  </sheets>
  <definedNames>
    <definedName name="_xlnm.Print_Titles" localSheetId="0">'Digi-Key order'!$4:$4</definedName>
    <definedName name="_xlnm.Print_Titles" localSheetId="1">'MkII collective hardware'!$4:$4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color rgb="00FFFFFF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igikey.com/en/products/result?keywords=1568-12640-ND" TargetMode="External" Id="rId1" /><Relationship Type="http://schemas.openxmlformats.org/officeDocument/2006/relationships/hyperlink" Target="https://www.digikey.com/en/products/result?keywords=35-PRPC012SAAN-RC-ND" TargetMode="External" Id="rId2" /><Relationship Type="http://schemas.openxmlformats.org/officeDocument/2006/relationships/hyperlink" Target="https://www.digikey.com/en/products/result?keywords=S6100-ND" TargetMode="External" Id="rId3" /><Relationship Type="http://schemas.openxmlformats.org/officeDocument/2006/relationships/hyperlink" Target="https://www.digikey.com/en/products/result?keywords=296-8250-1-ND" TargetMode="External" Id="rId4" /><Relationship Type="http://schemas.openxmlformats.org/officeDocument/2006/relationships/hyperlink" Target="https://www.digikey.com/en/products/result?keywords=4609X-101-103LF-ND" TargetMode="External" Id="rId5" /><Relationship Type="http://schemas.openxmlformats.org/officeDocument/2006/relationships/hyperlink" Target="https://www.digikey.com/en/products/result?keywords=1276-1017-1-ND" TargetMode="External" Id="rId6" /><Relationship Type="http://schemas.openxmlformats.org/officeDocument/2006/relationships/hyperlink" Target="https://www.digikey.com/en/products/result?keywords=1276-1287-1-ND" TargetMode="External" Id="rId7" /><Relationship Type="http://schemas.openxmlformats.org/officeDocument/2006/relationships/hyperlink" Target="https://www.digikey.com/en/products/result?keywords=455-BM10B-SRSS-TBTCT-ND" TargetMode="External" Id="rId8" /><Relationship Type="http://schemas.openxmlformats.org/officeDocument/2006/relationships/hyperlink" Target="https://www.digikey.com/en/products/result?keywords=455-BM03B-SRSS-TBTCT-ND" TargetMode="External" Id="rId9" /><Relationship Type="http://schemas.openxmlformats.org/officeDocument/2006/relationships/hyperlink" Target="https://www.digikey.com/en/products/result?keywords=EG4344CT-ND" TargetMode="External" Id="rId10" /><Relationship Type="http://schemas.openxmlformats.org/officeDocument/2006/relationships/hyperlink" Target="https://www.digikey.com/en/products/result?keywords=311-1.00KCRCT-ND" TargetMode="External" Id="rId11" /><Relationship Type="http://schemas.openxmlformats.org/officeDocument/2006/relationships/hyperlink" Target="https://www.digikey.com/en/products/result?keywords=455-3671-ND" TargetMode="External" Id="rId12" /><Relationship Type="http://schemas.openxmlformats.org/officeDocument/2006/relationships/hyperlink" Target="https://www.digikey.com/en/products/result?keywords=455-3627-ND" TargetMode="External" Id="rId13" /><Relationship Type="http://schemas.openxmlformats.org/officeDocument/2006/relationships/hyperlink" Target="https://www.digikey.com/en/products/result?keywords=296-DRV5055A4QLPGMCT-ND" TargetMode="External" Id="rId14" /><Relationship Type="http://schemas.openxmlformats.org/officeDocument/2006/relationships/hyperlink" Target="https://www.digikey.com/en/products/result?keywords=296-DRV5055A2QLPGMCT-ND" TargetMode="External" Id="rId15" /><Relationship Type="http://schemas.openxmlformats.org/officeDocument/2006/relationships/hyperlink" Target="https://www.digikey.com/en/products/result?keywords=399-13734-1-ND" TargetMode="External" Id="rId16" /><Relationship Type="http://schemas.openxmlformats.org/officeDocument/2006/relationships/hyperlink" Target="https://www.digikey.com/en/products/result?keywords=987-1278-ND" TargetMode="External" Id="rId17" /><Relationship Type="http://schemas.openxmlformats.org/officeDocument/2006/relationships/hyperlink" Target="https://www.digikey.com/en/products/result?keywords=679-1223-ND" TargetMode="External" Id="rId18" /><Relationship Type="http://schemas.openxmlformats.org/officeDocument/2006/relationships/hyperlink" Target="https://www.digikey.com/en/products/result?keywords=679-1219-ND" TargetMode="External" Id="rId19" /><Relationship Type="http://schemas.openxmlformats.org/officeDocument/2006/relationships/hyperlink" Target="https://www.digikey.com/en/products/result?keywords=679-1217-ND" TargetMode="External" Id="rId20" /><Relationship Type="http://schemas.openxmlformats.org/officeDocument/2006/relationships/hyperlink" Target="https://www.digikey.com/en/products/result?keywords=2223-PB4-M-BK-D-67-ND" TargetMode="External" Id="rId21" /><Relationship Type="http://schemas.openxmlformats.org/officeDocument/2006/relationships/hyperlink" Target="https://www.digikey.com/en/products/result?keywords=EG2011-ND" TargetMode="External" Id="rId22" /><Relationship Type="http://schemas.openxmlformats.org/officeDocument/2006/relationships/hyperlink" Target="https://www.digikey.com/en/products/result?keywords=450-1650-ND" TargetMode="External" Id="rId23" /><Relationship Type="http://schemas.openxmlformats.org/officeDocument/2006/relationships/hyperlink" Target="https://www.digikey.com/en/products/result?keywords=SRS-4-4MM-ND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6" customWidth="1" min="3" max="3"/>
    <col width="46" customWidth="1" min="4" max="4"/>
    <col width="18" customWidth="1" min="5" max="5"/>
    <col width="24" customWidth="1" min="6" max="6"/>
    <col width="28" customWidth="1" min="7" max="7"/>
    <col width="10" customWidth="1" min="8" max="8"/>
    <col width="10" customWidth="1" min="9" max="9"/>
    <col width="56" customWidth="1" min="10" max="10"/>
  </cols>
  <sheetData>
    <row r="1">
      <c r="A1" s="1" t="inlineStr">
        <is>
          <t>HeliSR Rev 3.0 - Digi-Key order</t>
        </is>
      </c>
    </row>
    <row r="2">
      <c r="A2" s="2" t="inlineStr">
        <is>
          <t>Matches the Digi-Key cart. Prices are from the cart on 2026-10-19 (the JST headers: 2026-10-22), before shipping and tariff; the cable and some head-switch lines are still to be priced from the cart. Digi-Key part numbers link to Digi-Key.</t>
        </is>
      </c>
    </row>
    <row r="4">
      <c r="A4" s="3" t="inlineStr">
        <is>
          <t>#</t>
        </is>
      </c>
      <c r="B4" s="3" t="inlineStr">
        <is>
          <t>Reference</t>
        </is>
      </c>
      <c r="C4" s="3" t="inlineStr">
        <is>
          <t>Qty</t>
        </is>
      </c>
      <c r="D4" s="3" t="inlineStr">
        <is>
          <t>Description</t>
        </is>
      </c>
      <c r="E4" s="3" t="inlineStr">
        <is>
          <t>Manufacturer</t>
        </is>
      </c>
      <c r="F4" s="3" t="inlineStr">
        <is>
          <t>Mfr part number</t>
        </is>
      </c>
      <c r="G4" s="3" t="inlineStr">
        <is>
          <t>Digi-Key part number</t>
        </is>
      </c>
      <c r="H4" s="3" t="inlineStr">
        <is>
          <t>Unit price</t>
        </is>
      </c>
      <c r="I4" s="3" t="inlineStr">
        <is>
          <t>Ext. price</t>
        </is>
      </c>
      <c r="J4" s="3" t="inlineStr">
        <is>
          <t>Notes</t>
        </is>
      </c>
    </row>
    <row r="5">
      <c r="A5" s="4" t="inlineStr">
        <is>
          <t>Controller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6" t="n"/>
    </row>
    <row r="6">
      <c r="A6" s="7" t="n">
        <v>1</v>
      </c>
      <c r="B6" s="8" t="inlineStr">
        <is>
          <t>Module</t>
        </is>
      </c>
      <c r="C6" s="7" t="n">
        <v>1</v>
      </c>
      <c r="D6" s="8" t="inlineStr">
        <is>
          <t>Pro Micro 5V/16 MHz, ATmega32U4</t>
        </is>
      </c>
      <c r="E6" s="8" t="inlineStr">
        <is>
          <t>SparkFun</t>
        </is>
      </c>
      <c r="F6" s="8" t="inlineStr">
        <is>
          <t>12640</t>
        </is>
      </c>
      <c r="G6" s="9" t="inlineStr">
        <is>
          <t>1568-12640-ND</t>
        </is>
      </c>
      <c r="H6" s="10" t="n">
        <v>23.99</v>
      </c>
      <c r="I6" s="10">
        <f>C6*H6</f>
        <v/>
      </c>
      <c r="J6" s="8" t="inlineStr">
        <is>
          <t>Runs MMJoy2</t>
        </is>
      </c>
    </row>
    <row r="7">
      <c r="A7" s="7" t="n">
        <v>2</v>
      </c>
      <c r="B7" s="8" t="inlineStr">
        <is>
          <t>Module</t>
        </is>
      </c>
      <c r="C7" s="7" t="n">
        <v>2</v>
      </c>
      <c r="D7" s="8" t="inlineStr">
        <is>
          <t>Pin header, male, 1x12, 2.54 mm</t>
        </is>
      </c>
      <c r="E7" s="8" t="inlineStr">
        <is>
          <t>Sullins</t>
        </is>
      </c>
      <c r="F7" s="8" t="inlineStr">
        <is>
          <t>PRPC012SAAN-RC</t>
        </is>
      </c>
      <c r="G7" s="9" t="inlineStr">
        <is>
          <t>35-PRPC012SAAN-RC-ND</t>
        </is>
      </c>
      <c r="H7" s="10" t="n">
        <v>0.24</v>
      </c>
      <c r="I7" s="10">
        <f>C7*H7</f>
        <v/>
      </c>
      <c r="J7" s="8" t="inlineStr">
        <is>
          <t>Soldered to the Pro Micro</t>
        </is>
      </c>
    </row>
    <row r="8">
      <c r="A8" s="4" t="inlineStr">
        <is>
          <t>Board components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6" t="n"/>
    </row>
    <row r="9">
      <c r="A9" s="7" t="n">
        <v>3</v>
      </c>
      <c r="B9" s="8" t="inlineStr">
        <is>
          <t>J7, J8</t>
        </is>
      </c>
      <c r="C9" s="7" t="n">
        <v>2</v>
      </c>
      <c r="D9" s="8" t="inlineStr">
        <is>
          <t>Socket header, female, 1x12, 2.54 mm</t>
        </is>
      </c>
      <c r="E9" s="8" t="inlineStr">
        <is>
          <t>Sullins</t>
        </is>
      </c>
      <c r="F9" s="8" t="inlineStr">
        <is>
          <t>PPTC121LFBN-RC</t>
        </is>
      </c>
      <c r="G9" s="9" t="inlineStr">
        <is>
          <t>S6100-ND</t>
        </is>
      </c>
      <c r="H9" s="10" t="n">
        <v>0.75</v>
      </c>
      <c r="I9" s="10">
        <f>C9*H9</f>
        <v/>
      </c>
      <c r="J9" s="8" t="inlineStr">
        <is>
          <t>Pro Micro sockets</t>
        </is>
      </c>
    </row>
    <row r="10">
      <c r="A10" s="7" t="n">
        <v>4</v>
      </c>
      <c r="B10" s="8" t="inlineStr">
        <is>
          <t>U1, U2</t>
        </is>
      </c>
      <c r="C10" s="7" t="n">
        <v>2</v>
      </c>
      <c r="D10" s="8" t="inlineStr">
        <is>
          <t>74HC165 shift register, SOIC-16</t>
        </is>
      </c>
      <c r="E10" s="8" t="inlineStr">
        <is>
          <t>Texas Instruments</t>
        </is>
      </c>
      <c r="F10" s="8" t="inlineStr">
        <is>
          <t>SN74HC165DR</t>
        </is>
      </c>
      <c r="G10" s="9" t="inlineStr">
        <is>
          <t>296-8250-1-ND</t>
        </is>
      </c>
      <c r="H10" s="10" t="n">
        <v>0.5</v>
      </c>
      <c r="I10" s="10">
        <f>C10*H10</f>
        <v/>
      </c>
      <c r="J10" s="8" t="inlineStr">
        <is>
          <t>Fit before the sockets. They sit under the Pro Micro</t>
        </is>
      </c>
    </row>
    <row r="11">
      <c r="A11" s="7" t="n">
        <v>5</v>
      </c>
      <c r="B11" s="8" t="inlineStr">
        <is>
          <t>RN1, RN2</t>
        </is>
      </c>
      <c r="C11" s="7" t="n">
        <v>2</v>
      </c>
      <c r="D11" s="8" t="inlineStr">
        <is>
          <t>Resistor network, 8 x 10 kOhm bussed, SIP-9</t>
        </is>
      </c>
      <c r="E11" s="8" t="inlineStr">
        <is>
          <t>Bourns</t>
        </is>
      </c>
      <c r="F11" s="8" t="inlineStr">
        <is>
          <t>4609X-101-103LF</t>
        </is>
      </c>
      <c r="G11" s="9" t="inlineStr">
        <is>
          <t>4609X-101-103LF-ND</t>
        </is>
      </c>
      <c r="H11" s="10" t="n">
        <v>0.39</v>
      </c>
      <c r="I11" s="10">
        <f>C11*H11</f>
        <v/>
      </c>
      <c r="J11" s="8" t="inlineStr">
        <is>
          <t>Pin 1 (dot) is the common pin. It goes in the square pad</t>
        </is>
      </c>
    </row>
    <row r="12">
      <c r="A12" s="7" t="n">
        <v>6</v>
      </c>
      <c r="B12" s="8" t="inlineStr">
        <is>
          <t>C1, C2</t>
        </is>
      </c>
      <c r="C12" s="7" t="n">
        <v>2</v>
      </c>
      <c r="D12" s="8" t="inlineStr">
        <is>
          <t>Capacitor, 100 nF, 50 V, X7R, 1206</t>
        </is>
      </c>
      <c r="E12" s="8" t="inlineStr">
        <is>
          <t>Samsung</t>
        </is>
      </c>
      <c r="F12" s="8" t="inlineStr">
        <is>
          <t>CL31B104KBCNNNC</t>
        </is>
      </c>
      <c r="G12" s="9" t="inlineStr">
        <is>
          <t>1276-1017-1-ND</t>
        </is>
      </c>
      <c r="H12" s="10" t="n">
        <v>0.14</v>
      </c>
      <c r="I12" s="10">
        <f>C12*H12</f>
        <v/>
      </c>
      <c r="J12" s="8" t="inlineStr">
        <is>
          <t>Shift register decoupling. C3 (22 uF) lies between U1 and U2; C1 and C2 sit at the chips' outer ends</t>
        </is>
      </c>
    </row>
    <row r="13">
      <c r="A13" s="7" t="n">
        <v>7</v>
      </c>
      <c r="B13" s="8" t="inlineStr">
        <is>
          <t>C3</t>
        </is>
      </c>
      <c r="C13" s="7" t="n">
        <v>1</v>
      </c>
      <c r="D13" s="8" t="inlineStr">
        <is>
          <t>Capacitor, 22 uF, 10 V, X5R, 1206</t>
        </is>
      </c>
      <c r="E13" s="8" t="inlineStr">
        <is>
          <t>Samsung</t>
        </is>
      </c>
      <c r="F13" s="8" t="inlineStr">
        <is>
          <t>CL31A226KPHNNNE</t>
        </is>
      </c>
      <c r="G13" s="9" t="inlineStr">
        <is>
          <t>1276-1287-1-ND</t>
        </is>
      </c>
      <c r="H13" s="10" t="n">
        <v>0.47</v>
      </c>
      <c r="I13" s="10">
        <f>C13*H13</f>
        <v/>
      </c>
      <c r="J13" s="8" t="inlineStr">
        <is>
          <t>Bulk supply capacitor</t>
        </is>
      </c>
    </row>
    <row r="14">
      <c r="A14" s="7" t="n">
        <v>8</v>
      </c>
      <c r="B14" s="8" t="inlineStr">
        <is>
          <t>J1, J2</t>
        </is>
      </c>
      <c r="C14" s="7" t="n">
        <v>2</v>
      </c>
      <c r="D14" s="8" t="inlineStr">
        <is>
          <t>JST SR/SH header, 10-pin, 1.0 mm, SMD top entry</t>
        </is>
      </c>
      <c r="E14" s="8" t="inlineStr">
        <is>
          <t>JST</t>
        </is>
      </c>
      <c r="F14" s="8" t="inlineStr">
        <is>
          <t>BM10B-SRSS-TBT</t>
        </is>
      </c>
      <c r="G14" s="9" t="inlineStr">
        <is>
          <t>455-BM10B-SRSS-TBTCT-ND</t>
        </is>
      </c>
      <c r="H14" s="10" t="n">
        <v>1.19</v>
      </c>
      <c r="I14" s="10">
        <f>C14*H14</f>
        <v/>
      </c>
      <c r="J14" s="8" t="inlineStr">
        <is>
          <t>Switch inputs 1-8 and 9-16. Price: cart on 2026-10-22, plus $0.33 estimated tariff each</t>
        </is>
      </c>
    </row>
    <row r="15">
      <c r="A15" s="7" t="n">
        <v>9</v>
      </c>
      <c r="B15" s="8" t="inlineStr">
        <is>
          <t>J11-J14</t>
        </is>
      </c>
      <c r="C15" s="7" t="n">
        <v>4</v>
      </c>
      <c r="D15" s="8" t="inlineStr">
        <is>
          <t>JST SR/SH header, 3-pin, 1.0 mm, SMD top entry</t>
        </is>
      </c>
      <c r="E15" s="8" t="inlineStr">
        <is>
          <t>JST</t>
        </is>
      </c>
      <c r="F15" s="8" t="inlineStr">
        <is>
          <t>BM03B-SRSS-TBT</t>
        </is>
      </c>
      <c r="G15" s="9" t="inlineStr">
        <is>
          <t>455-BM03B-SRSS-TBTCT-ND</t>
        </is>
      </c>
      <c r="H15" s="10" t="n">
        <v>0.68</v>
      </c>
      <c r="I15" s="10">
        <f>C15*H15</f>
        <v/>
      </c>
      <c r="J15" s="8" t="inlineStr">
        <is>
          <t>Analog inputs AX1-AX4. Price: cart on 2026-10-22, plus $0.26 estimated tariff each. That cart had 3: enough for the three inputs the Huey head uses, one short of all four footprints</t>
        </is>
      </c>
    </row>
    <row r="16">
      <c r="A16" s="7" t="n">
        <v>10</v>
      </c>
      <c r="B16" s="8" t="inlineStr">
        <is>
          <t>SW1-SW3</t>
        </is>
      </c>
      <c r="C16" s="7" t="n">
        <v>3</v>
      </c>
      <c r="D16" s="8" t="inlineStr">
        <is>
          <t>Tactile switch, SMD 3.9 x 2.9 mm, gull wing</t>
        </is>
      </c>
      <c r="E16" s="8" t="inlineStr">
        <is>
          <t>E-Switch</t>
        </is>
      </c>
      <c r="F16" s="8" t="inlineStr">
        <is>
          <t>TL1015AF160QG</t>
        </is>
      </c>
      <c r="G16" s="9" t="inlineStr">
        <is>
          <t>EG4344CT-ND</t>
        </is>
      </c>
      <c r="H16" s="10" t="n">
        <v>0.48</v>
      </c>
      <c r="I16" s="10">
        <f>C16*H16</f>
        <v/>
      </c>
      <c r="J16" s="8" t="inlineStr">
        <is>
          <t>SW1 RST, SW2 PROG1 (AX1), SW3 PROG4 (AX4). Footprint SW_TL1015AF160QG (4.15 mm pad centres). Their four ground tabs are left unsoldered</t>
        </is>
      </c>
    </row>
    <row r="17">
      <c r="A17" s="7" t="n">
        <v>11</v>
      </c>
      <c r="B17" s="8" t="inlineStr">
        <is>
          <t>R1, R2</t>
        </is>
      </c>
      <c r="C17" s="7" t="n">
        <v>2</v>
      </c>
      <c r="D17" s="8" t="inlineStr">
        <is>
          <t>Resistor, 1 kOhm, 1 %, 1/8 W, 0805</t>
        </is>
      </c>
      <c r="E17" s="8" t="inlineStr">
        <is>
          <t>YAGEO</t>
        </is>
      </c>
      <c r="F17" s="8" t="inlineStr">
        <is>
          <t>RC0805FR-071KL</t>
        </is>
      </c>
      <c r="G17" s="9" t="inlineStr">
        <is>
          <t>311-1.00KCRCT-ND</t>
        </is>
      </c>
      <c r="H17" s="10" t="n">
        <v>0.1</v>
      </c>
      <c r="I17" s="10">
        <f>C17*H17</f>
        <v/>
      </c>
      <c r="J17" s="8" t="inlineStr">
        <is>
          <t>In series with the PROG buttons: each pulls its AS5600's OUT pin low through 1 k to program it</t>
        </is>
      </c>
    </row>
    <row r="18">
      <c r="A18" s="4" t="inlineStr">
        <is>
          <t>Cables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6" t="n"/>
    </row>
    <row r="19">
      <c r="A19" s="7" t="n">
        <v>12</v>
      </c>
      <c r="B19" s="8" t="inlineStr">
        <is>
          <t>J1, J2</t>
        </is>
      </c>
      <c r="C19" s="7" t="n">
        <v>2</v>
      </c>
      <c r="D19" s="8" t="inlineStr">
        <is>
          <t>JST SR jumper, 10-pin, 10 in, 30 AWG, pin 1 to pin 1</t>
        </is>
      </c>
      <c r="E19" s="8" t="inlineStr">
        <is>
          <t>JST</t>
        </is>
      </c>
      <c r="F19" s="8" t="inlineStr">
        <is>
          <t>A10SR10SR30K254A</t>
        </is>
      </c>
      <c r="G19" s="9" t="inlineStr">
        <is>
          <t>455-3671-ND</t>
        </is>
      </c>
      <c r="H19" s="10" t="n"/>
      <c r="I19" s="10">
        <f>C19*H19</f>
        <v/>
      </c>
      <c r="J19" s="8" t="inlineStr">
        <is>
          <t>Switch looms. Quantity and price: check the cart</t>
        </is>
      </c>
    </row>
    <row r="20">
      <c r="A20" s="7" t="n">
        <v>13</v>
      </c>
      <c r="B20" s="8" t="inlineStr">
        <is>
          <t>J11-J14</t>
        </is>
      </c>
      <c r="C20" s="7" t="n">
        <v>4</v>
      </c>
      <c r="D20" s="8" t="inlineStr">
        <is>
          <t>JST SR jumper, 3-pin, 8 in, 30 AWG, pin 1 to pin 1</t>
        </is>
      </c>
      <c r="E20" s="8" t="inlineStr">
        <is>
          <t>JST</t>
        </is>
      </c>
      <c r="F20" s="8" t="inlineStr">
        <is>
          <t>A03SR03SR30K203A</t>
        </is>
      </c>
      <c r="G20" s="9" t="inlineStr">
        <is>
          <t>455-3627-ND</t>
        </is>
      </c>
      <c r="H20" s="10" t="n"/>
      <c r="I20" s="10">
        <f>C20*H20</f>
        <v/>
      </c>
      <c r="J20" s="8" t="inlineStr">
        <is>
          <t>One per sensor or pot. Quantity and price: check the cart</t>
        </is>
      </c>
    </row>
    <row r="21">
      <c r="A21" s="4" t="inlineStr">
        <is>
          <t>Sensors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6" t="n"/>
    </row>
    <row r="22">
      <c r="A22" s="7" t="n">
        <v>14</v>
      </c>
      <c r="B22" s="8" t="inlineStr">
        <is>
          <t>AX1 (MkII base)</t>
        </is>
      </c>
      <c r="C22" s="7" t="n">
        <v>1</v>
      </c>
      <c r="D22" s="8" t="inlineStr">
        <is>
          <t>Linear Hall sensor, ratiometric, TO-92, A4 (lowest sensitivity)</t>
        </is>
      </c>
      <c r="E22" s="8" t="inlineStr">
        <is>
          <t>Texas Instruments</t>
        </is>
      </c>
      <c r="F22" s="8" t="inlineStr">
        <is>
          <t>DRV5055A4QLPGM</t>
        </is>
      </c>
      <c r="G22" s="9" t="inlineStr">
        <is>
          <t>296-DRV5055A4QLPGMCT-ND</t>
        </is>
      </c>
      <c r="H22" s="10" t="n">
        <v>0.77</v>
      </c>
      <c r="I22" s="10">
        <f>C22*H22</f>
        <v/>
      </c>
      <c r="J22" s="8" t="inlineStr">
        <is>
          <t>Only for the original MkII base. The MkIII base uses an AS5600 module (see below). Pinout VCC / GND / OUT, same as SS49E</t>
        </is>
      </c>
    </row>
    <row r="23">
      <c r="A23" s="7" t="n">
        <v>15</v>
      </c>
      <c r="B23" s="8" t="inlineStr">
        <is>
          <t>AX1 (MkII base, alt)</t>
        </is>
      </c>
      <c r="C23" s="7" t="n">
        <v>1</v>
      </c>
      <c r="D23" s="8" t="inlineStr">
        <is>
          <t>Linear Hall sensor, ratiometric, TO-92, A2 (higher sensitivity)</t>
        </is>
      </c>
      <c r="E23" s="8" t="inlineStr">
        <is>
          <t>Texas Instruments</t>
        </is>
      </c>
      <c r="F23" s="8" t="inlineStr">
        <is>
          <t>DRV5055A2QLPGM</t>
        </is>
      </c>
      <c r="G23" s="9" t="inlineStr">
        <is>
          <t>296-DRV5055A2QLPGMCT-ND</t>
        </is>
      </c>
      <c r="H23" s="10" t="n">
        <v>1.11</v>
      </c>
      <c r="I23" s="10">
        <f>C23*H23</f>
        <v/>
      </c>
      <c r="J23" s="8" t="inlineStr">
        <is>
          <t>Try this one if the A4 uses too little of the axis range</t>
        </is>
      </c>
    </row>
    <row r="24">
      <c r="A24" s="7" t="n">
        <v>16</v>
      </c>
      <c r="B24" s="8" t="inlineStr">
        <is>
          <t>AX1 cap (MkII base)</t>
        </is>
      </c>
      <c r="C24" s="7" t="n">
        <v>1</v>
      </c>
      <c r="D24" s="8" t="inlineStr">
        <is>
          <t>Capacitor, 100 nF, 50 V, X7R, axial</t>
        </is>
      </c>
      <c r="E24" s="8" t="inlineStr">
        <is>
          <t>KEMET</t>
        </is>
      </c>
      <c r="F24" s="8" t="inlineStr">
        <is>
          <t>C410C104K5R5TA91707200</t>
        </is>
      </c>
      <c r="G24" s="9" t="inlineStr">
        <is>
          <t>399-13734-1-ND</t>
        </is>
      </c>
      <c r="H24" s="10" t="n">
        <v>0.77</v>
      </c>
      <c r="I24" s="10">
        <f>C24*H24</f>
        <v/>
      </c>
      <c r="J24" s="8" t="inlineStr">
        <is>
          <t>Solder across VCC and GND at the Hall sensor</t>
        </is>
      </c>
    </row>
    <row r="25">
      <c r="A25" s="7" t="n">
        <v>17</v>
      </c>
      <c r="B25" s="8" t="inlineStr">
        <is>
          <t>AX2, AX3</t>
        </is>
      </c>
      <c r="C25" s="7" t="n">
        <v>2</v>
      </c>
      <c r="D25" s="8" t="inlineStr">
        <is>
          <t>Potentiometer, 5 kOhm linear, 9 mm, 6 mm knurled shaft</t>
        </is>
      </c>
      <c r="E25" s="8" t="inlineStr">
        <is>
          <t>TT Electronics/BI</t>
        </is>
      </c>
      <c r="F25" s="8" t="inlineStr">
        <is>
          <t>P0915N-QC20BR5K</t>
        </is>
      </c>
      <c r="G25" s="9" t="inlineStr">
        <is>
          <t>987-1278-ND</t>
        </is>
      </c>
      <c r="H25" s="10" t="n">
        <v>2.41</v>
      </c>
      <c r="I25" s="10">
        <f>C25*H25</f>
        <v/>
      </c>
      <c r="J25" s="8" t="inlineStr">
        <is>
          <t>Throttle (AX2, in the spline adaptor) and head knob (AX3)</t>
        </is>
      </c>
    </row>
    <row r="26">
      <c r="A26" s="4" t="inlineStr">
        <is>
          <t>Head switches (15 of the 16 inputs)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6" t="n"/>
    </row>
    <row r="27">
      <c r="A27" s="7" t="n">
        <v>18</v>
      </c>
      <c r="B27" s="8" t="inlineStr">
        <is>
          <t>2 inputs each</t>
        </is>
      </c>
      <c r="C27" s="7" t="n">
        <v>2</v>
      </c>
      <c r="D27" s="8" t="inlineStr">
        <is>
          <t>Toggle switch, SPDT, ON-OFF-ON, M12 bushing, solder lug</t>
        </is>
      </c>
      <c r="E27" s="8" t="inlineStr">
        <is>
          <t>APEM</t>
        </is>
      </c>
      <c r="F27" s="8" t="inlineStr">
        <is>
          <t>639H/2</t>
        </is>
      </c>
      <c r="G27" s="9" t="inlineStr">
        <is>
          <t>679-1223-ND</t>
        </is>
      </c>
      <c r="H27" s="10" t="n"/>
      <c r="I27" s="10">
        <f>C27*H27</f>
        <v/>
      </c>
      <c r="J27" s="8" t="inlineStr">
        <is>
          <t>LDG LT EXT / RETR and SL ON / STOW. Common to GND. Price: check the cart</t>
        </is>
      </c>
    </row>
    <row r="28">
      <c r="A28" s="7" t="n">
        <v>19</v>
      </c>
      <c r="B28" s="8" t="inlineStr">
        <is>
          <t>2 inputs</t>
        </is>
      </c>
      <c r="C28" s="7" t="n">
        <v>1</v>
      </c>
      <c r="D28" s="8" t="inlineStr">
        <is>
          <t>Toggle switch, SPDT, (ON)-OFF-(ON), M12 bushing, solder lug</t>
        </is>
      </c>
      <c r="E28" s="8" t="inlineStr">
        <is>
          <t>APEM</t>
        </is>
      </c>
      <c r="F28" s="8" t="inlineStr">
        <is>
          <t>637H/2</t>
        </is>
      </c>
      <c r="G28" s="9" t="inlineStr">
        <is>
          <t>679-1219-ND</t>
        </is>
      </c>
      <c r="H28" s="10" t="n"/>
      <c r="I28" s="10">
        <f>C28*H28</f>
        <v/>
      </c>
      <c r="J28" s="8" t="inlineStr">
        <is>
          <t>GOV INCR / DECR. Price: check the cart</t>
        </is>
      </c>
    </row>
    <row r="29">
      <c r="A29" s="7" t="n">
        <v>20</v>
      </c>
      <c r="B29" s="8" t="inlineStr">
        <is>
          <t>1 input</t>
        </is>
      </c>
      <c r="C29" s="7" t="n">
        <v>1</v>
      </c>
      <c r="D29" s="8" t="inlineStr">
        <is>
          <t>Toggle switch, SPDT, ON-ON, M12 bushing, solder lug</t>
        </is>
      </c>
      <c r="E29" s="8" t="inlineStr">
        <is>
          <t>APEM</t>
        </is>
      </c>
      <c r="F29" s="8" t="inlineStr">
        <is>
          <t>636H/2</t>
        </is>
      </c>
      <c r="G29" s="9" t="inlineStr">
        <is>
          <t>679-1217-ND</t>
        </is>
      </c>
      <c r="H29" s="10" t="n"/>
      <c r="I29" s="10">
        <f>C29*H29</f>
        <v/>
      </c>
      <c r="J29" s="8" t="inlineStr">
        <is>
          <t>LDG LT ON / OFF (one side wired). Price: check the cart</t>
        </is>
      </c>
    </row>
    <row r="30">
      <c r="A30" s="7" t="n">
        <v>21</v>
      </c>
      <c r="B30" s="8" t="inlineStr">
        <is>
          <t>1 input</t>
        </is>
      </c>
      <c r="C30" s="7" t="n">
        <v>1</v>
      </c>
      <c r="D30" s="8" t="inlineStr">
        <is>
          <t>Push button, large, SPST-NO momentary, M12</t>
        </is>
      </c>
      <c r="E30" s="8" t="inlineStr">
        <is>
          <t>Same Sky</t>
        </is>
      </c>
      <c r="F30" s="8" t="inlineStr">
        <is>
          <t>PB4-M-BK-D-67</t>
        </is>
      </c>
      <c r="G30" s="9" t="inlineStr">
        <is>
          <t>2223-PB4-M-BK-D-67-ND</t>
        </is>
      </c>
      <c r="H30" s="10" t="n">
        <v>2.52</v>
      </c>
      <c r="I30" s="10">
        <f>C30*H30</f>
        <v/>
      </c>
      <c r="J30" s="8" t="inlineStr">
        <is>
          <t>STOP REL</t>
        </is>
      </c>
    </row>
    <row r="31">
      <c r="A31" s="7" t="n">
        <v>22</v>
      </c>
      <c r="B31" s="8" t="inlineStr">
        <is>
          <t>1 input each</t>
        </is>
      </c>
      <c r="C31" s="7" t="n">
        <v>2</v>
      </c>
      <c r="D31" s="8" t="inlineStr">
        <is>
          <t>Push button, small, SPST-NO momentary, 7.2 mm cutout</t>
        </is>
      </c>
      <c r="E31" s="8" t="inlineStr">
        <is>
          <t>E-Switch</t>
        </is>
      </c>
      <c r="F31" s="8" t="inlineStr">
        <is>
          <t>PS1024ABLK</t>
        </is>
      </c>
      <c r="G31" s="9" t="inlineStr">
        <is>
          <t>EG2011-ND</t>
        </is>
      </c>
      <c r="H31" s="10" t="n">
        <v>1.66</v>
      </c>
      <c r="I31" s="10">
        <f>C31*H31</f>
        <v/>
      </c>
      <c r="J31" s="8" t="inlineStr">
        <is>
          <t>The two buttons on the lower panel</t>
        </is>
      </c>
    </row>
    <row r="32">
      <c r="A32" s="7" t="n">
        <v>23</v>
      </c>
      <c r="B32" s="8" t="inlineStr">
        <is>
          <t>1 input each</t>
        </is>
      </c>
      <c r="C32" s="7" t="n">
        <v>5</v>
      </c>
      <c r="D32" s="8" t="inlineStr">
        <is>
          <t>Tactile switch, 6 x 6 mm, 5 mm high, THT</t>
        </is>
      </c>
      <c r="E32" s="8" t="inlineStr">
        <is>
          <t>TE Connectivity</t>
        </is>
      </c>
      <c r="F32" s="8" t="inlineStr">
        <is>
          <t>1825910-6</t>
        </is>
      </c>
      <c r="G32" s="9" t="inlineStr">
        <is>
          <t>450-1650-ND</t>
        </is>
      </c>
      <c r="H32" s="10" t="n">
        <v>0.13</v>
      </c>
      <c r="I32" s="10">
        <f>C32*H32</f>
        <v/>
      </c>
      <c r="J32" s="8" t="inlineStr">
        <is>
          <t>SEARCH CONT 4-way hat (4) and starter trigger (1)</t>
        </is>
      </c>
    </row>
    <row r="33">
      <c r="A33" s="4" t="inlineStr">
        <is>
          <t>PCB mounting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6" t="n"/>
    </row>
    <row r="34">
      <c r="A34" s="7" t="n">
        <v>24</v>
      </c>
      <c r="B34" s="8" t="inlineStr">
        <is>
          <t>H1-H4</t>
        </is>
      </c>
      <c r="C34" s="7" t="n">
        <v>4</v>
      </c>
      <c r="D34" s="8" t="inlineStr">
        <is>
          <t>Round spacer, unthreaded, for M3, 4 mm long, 6.4 mm OD, PVC, self-retaining</t>
        </is>
      </c>
      <c r="E34" s="8" t="inlineStr">
        <is>
          <t>Bivar</t>
        </is>
      </c>
      <c r="F34" s="8" t="inlineStr">
        <is>
          <t>SRS-4-4MM</t>
        </is>
      </c>
      <c r="G34" s="9" t="inlineStr">
        <is>
          <t>SRS-4-4MM-ND</t>
        </is>
      </c>
      <c r="H34" s="10" t="n">
        <v>0.1</v>
      </c>
      <c r="I34" s="10">
        <f>C34*H34</f>
        <v/>
      </c>
      <c r="J34" s="8" t="inlineStr">
        <is>
          <t>Between the Huey head's rear wall and the board. Screws and nuts not in the order (see below)</t>
        </is>
      </c>
    </row>
    <row r="36">
      <c r="H36" s="11" t="inlineStr">
        <is>
          <t>Subtotal</t>
        </is>
      </c>
      <c r="I36" s="12">
        <f>SUM(I6:I34)</f>
        <v/>
      </c>
    </row>
    <row r="38">
      <c r="A38" s="4" t="inlineStr">
        <is>
          <t>Not in the Digi-Key order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6" t="n"/>
    </row>
    <row r="39">
      <c r="A39" s="7" t="n">
        <v>25</v>
      </c>
      <c r="B39" s="8" t="inlineStr">
        <is>
          <t>AX1 (MkIII base)</t>
        </is>
      </c>
      <c r="C39" s="7" t="n">
        <v>1</v>
      </c>
      <c r="D39" s="8" t="inlineStr">
        <is>
          <t>AS5600 magnetic encoder module, 23 x 23 mm, with 5 x 2 mm diametric magnet</t>
        </is>
      </c>
      <c r="E39" s="8" t="inlineStr">
        <is>
          <t>WWZMDiB, Amazon B0CM3C8KFT</t>
        </is>
      </c>
      <c r="F39" s="5" t="n"/>
      <c r="G39" s="5" t="n"/>
      <c r="H39" s="5" t="n"/>
      <c r="I39" s="6" t="n"/>
      <c r="J39" s="8" t="inlineStr">
        <is>
          <t>Collective axis. Remove its 0 ohm R1 for 5 V; keep R4 (PGO to GND). Wire DIR to VCC</t>
        </is>
      </c>
    </row>
    <row r="40">
      <c r="A40" s="7" t="n">
        <v>26</v>
      </c>
      <c r="B40" s="8" t="inlineStr">
        <is>
          <t>AX4 (option)</t>
        </is>
      </c>
      <c r="C40" s="7" t="n">
        <v>1</v>
      </c>
      <c r="D40" s="8" t="inlineStr">
        <is>
          <t>AS5600 magnetic encoder module, as AX1</t>
        </is>
      </c>
      <c r="E40" s="8" t="inlineStr">
        <is>
          <t>WWZMDiB, Amazon B0CM3C8KFT</t>
        </is>
      </c>
      <c r="F40" s="5" t="n"/>
      <c r="G40" s="5" t="n"/>
      <c r="H40" s="5" t="n"/>
      <c r="I40" s="6" t="n"/>
      <c r="J40" s="8" t="inlineStr">
        <is>
          <t>Second AS5600 (throttle), programmed with PROG4. As AX1, except DIR: see Head/README.md</t>
        </is>
      </c>
    </row>
    <row r="41">
      <c r="A41" s="7" t="n">
        <v>27</v>
      </c>
      <c r="B41" s="8" t="inlineStr">
        <is>
          <t>AX3</t>
        </is>
      </c>
      <c r="C41" s="7" t="n">
        <v>1</v>
      </c>
      <c r="D41" s="8" t="inlineStr">
        <is>
          <t>Knob for a 6 mm knurled shaft</t>
        </is>
      </c>
      <c r="E41" s="8" t="inlineStr">
        <is>
          <t>e.g. Cliff FC7257 (Digi-Key 4654-FC7257-ND)</t>
        </is>
      </c>
      <c r="F41" s="5" t="n"/>
      <c r="G41" s="5" t="n"/>
      <c r="H41" s="5" t="n"/>
      <c r="I41" s="6" t="n"/>
      <c r="J41" s="8" t="inlineStr">
        <is>
          <t>Check the spline matches the pot's knurl</t>
        </is>
      </c>
    </row>
    <row r="42">
      <c r="A42" s="7" t="n">
        <v>28</v>
      </c>
      <c r="B42" s="8" t="inlineStr">
        <is>
          <t>USB</t>
        </is>
      </c>
      <c r="C42" s="7" t="n">
        <v>1</v>
      </c>
      <c r="D42" s="8" t="inlineStr">
        <is>
          <t>USB cable, A to micro-B</t>
        </is>
      </c>
      <c r="E42" s="8" t="inlineStr">
        <is>
          <t>e.g. Assmann AK67421-2 (Digi-Key AE10342-ND)</t>
        </is>
      </c>
      <c r="F42" s="5" t="n"/>
      <c r="G42" s="5" t="n"/>
      <c r="H42" s="5" t="n"/>
      <c r="I42" s="6" t="n"/>
      <c r="J42" s="8" t="inlineStr">
        <is>
          <t>If you don't have one</t>
        </is>
      </c>
    </row>
    <row r="43">
      <c r="A43" s="7" t="n">
        <v>29</v>
      </c>
      <c r="B43" s="8" t="inlineStr">
        <is>
          <t>H1-H4</t>
        </is>
      </c>
      <c r="C43" s="7" t="n">
        <v>4</v>
      </c>
      <c r="D43" s="8" t="inlineStr">
        <is>
          <t>Machine screw, M3 x 12, countersunk (ISO 10642 / DIN 7991)</t>
        </is>
      </c>
      <c r="E43" s="8" t="inlineStr">
        <is>
          <t>Any hardware supplier</t>
        </is>
      </c>
      <c r="F43" s="5" t="n"/>
      <c r="G43" s="5" t="n"/>
      <c r="H43" s="5" t="n"/>
      <c r="I43" s="6" t="n"/>
      <c r="J43" s="8" t="inlineStr">
        <is>
          <t>From outside the Huey head's rear wall, through the spacer and the board</t>
        </is>
      </c>
    </row>
    <row r="44">
      <c r="A44" s="7" t="n">
        <v>30</v>
      </c>
      <c r="B44" s="8" t="inlineStr">
        <is>
          <t>H1-H4</t>
        </is>
      </c>
      <c r="C44" s="7" t="n">
        <v>4</v>
      </c>
      <c r="D44" s="8" t="inlineStr">
        <is>
          <t>Hex nut, M3 (ISO 4032 / DIN 934, 5.5 mm across flats)</t>
        </is>
      </c>
      <c r="E44" s="8" t="inlineStr">
        <is>
          <t>Any hardware supplier</t>
        </is>
      </c>
      <c r="F44" s="5" t="n"/>
      <c r="G44" s="5" t="n"/>
      <c r="H44" s="5" t="n"/>
      <c r="I44" s="6" t="n"/>
      <c r="J44" s="8" t="inlineStr">
        <is>
          <t>On the board's front</t>
        </is>
      </c>
    </row>
  </sheetData>
  <mergeCells count="14">
    <mergeCell ref="A5:J5"/>
    <mergeCell ref="E44:I44"/>
    <mergeCell ref="E43:I43"/>
    <mergeCell ref="A8:J8"/>
    <mergeCell ref="A18:J18"/>
    <mergeCell ref="E42:I42"/>
    <mergeCell ref="A21:J21"/>
    <mergeCell ref="E41:I41"/>
    <mergeCell ref="A26:J26"/>
    <mergeCell ref="A38:J38"/>
    <mergeCell ref="A2:J2"/>
    <mergeCell ref="E39:I39"/>
    <mergeCell ref="E40:I40"/>
    <mergeCell ref="A33:J33"/>
  </mergeCells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9" r:id="rId3"/>
    <hyperlink xmlns:r="http://schemas.openxmlformats.org/officeDocument/2006/relationships" ref="G10" r:id="rId4"/>
    <hyperlink xmlns:r="http://schemas.openxmlformats.org/officeDocument/2006/relationships" ref="G11" r:id="rId5"/>
    <hyperlink xmlns:r="http://schemas.openxmlformats.org/officeDocument/2006/relationships" ref="G12" r:id="rId6"/>
    <hyperlink xmlns:r="http://schemas.openxmlformats.org/officeDocument/2006/relationships" ref="G13" r:id="rId7"/>
    <hyperlink xmlns:r="http://schemas.openxmlformats.org/officeDocument/2006/relationships" ref="G14" r:id="rId8"/>
    <hyperlink xmlns:r="http://schemas.openxmlformats.org/officeDocument/2006/relationships" ref="G15" r:id="rId9"/>
    <hyperlink xmlns:r="http://schemas.openxmlformats.org/officeDocument/2006/relationships" ref="G16" r:id="rId10"/>
    <hyperlink xmlns:r="http://schemas.openxmlformats.org/officeDocument/2006/relationships" ref="G17" r:id="rId11"/>
    <hyperlink xmlns:r="http://schemas.openxmlformats.org/officeDocument/2006/relationships" ref="G19" r:id="rId12"/>
    <hyperlink xmlns:r="http://schemas.openxmlformats.org/officeDocument/2006/relationships" ref="G20" r:id="rId13"/>
    <hyperlink xmlns:r="http://schemas.openxmlformats.org/officeDocument/2006/relationships" ref="G22" r:id="rId14"/>
    <hyperlink xmlns:r="http://schemas.openxmlformats.org/officeDocument/2006/relationships" ref="G23" r:id="rId15"/>
    <hyperlink xmlns:r="http://schemas.openxmlformats.org/officeDocument/2006/relationships" ref="G24" r:id="rId16"/>
    <hyperlink xmlns:r="http://schemas.openxmlformats.org/officeDocument/2006/relationships" ref="G25" r:id="rId17"/>
    <hyperlink xmlns:r="http://schemas.openxmlformats.org/officeDocument/2006/relationships" ref="G27" r:id="rId18"/>
    <hyperlink xmlns:r="http://schemas.openxmlformats.org/officeDocument/2006/relationships" ref="G28" r:id="rId19"/>
    <hyperlink xmlns:r="http://schemas.openxmlformats.org/officeDocument/2006/relationships" ref="G29" r:id="rId20"/>
    <hyperlink xmlns:r="http://schemas.openxmlformats.org/officeDocument/2006/relationships" ref="G30" r:id="rId21"/>
    <hyperlink xmlns:r="http://schemas.openxmlformats.org/officeDocument/2006/relationships" ref="G31" r:id="rId22"/>
    <hyperlink xmlns:r="http://schemas.openxmlformats.org/officeDocument/2006/relationships" ref="G32" r:id="rId23"/>
    <hyperlink xmlns:r="http://schemas.openxmlformats.org/officeDocument/2006/relationships" ref="G34" r:id="rId24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6" customWidth="1" min="3" max="3"/>
    <col width="60" customWidth="1" min="4" max="4"/>
    <col width="30" customWidth="1" min="5" max="5"/>
  </cols>
  <sheetData>
    <row r="1">
      <c r="A1" s="1" t="inlineStr">
        <is>
          <t>HeliSR - MkII collective hardware</t>
        </is>
      </c>
    </row>
    <row r="2">
      <c r="A2" s="2" t="inlineStr">
        <is>
          <t>From the original project's parts list, for the MkII base. Hardware store items. The MkIII base's parts are listed in Base/README.md.</t>
        </is>
      </c>
    </row>
    <row r="4">
      <c r="A4" s="3" t="inlineStr">
        <is>
          <t>#</t>
        </is>
      </c>
      <c r="B4" s="3" t="inlineStr">
        <is>
          <t>Part</t>
        </is>
      </c>
      <c r="C4" s="3" t="inlineStr">
        <is>
          <t>Qty</t>
        </is>
      </c>
      <c r="D4" s="3" t="inlineStr">
        <is>
          <t>Description</t>
        </is>
      </c>
      <c r="E4" s="3" t="inlineStr">
        <is>
          <t>Notes</t>
        </is>
      </c>
    </row>
    <row r="5">
      <c r="A5" s="7" t="n">
        <v>1</v>
      </c>
      <c r="B5" s="8" t="inlineStr">
        <is>
          <t>Base</t>
        </is>
      </c>
      <c r="C5" s="7" t="n">
        <v>1</v>
      </c>
      <c r="D5" s="8" t="inlineStr">
        <is>
          <t>Aluminium tube, 25 mm OD x 1 mm wall, 300 mm long</t>
        </is>
      </c>
      <c r="E5" s="8" t="inlineStr"/>
    </row>
    <row r="6">
      <c r="A6" s="7" t="n">
        <v>2</v>
      </c>
      <c r="B6" s="8" t="inlineStr">
        <is>
          <t>Base</t>
        </is>
      </c>
      <c r="C6" s="7" t="n">
        <v>2</v>
      </c>
      <c r="D6" s="8" t="inlineStr">
        <is>
          <t>Magnet, 5 x 5 x 5 mm cube, neodymium</t>
        </is>
      </c>
      <c r="E6" s="8" t="inlineStr">
        <is>
          <t>For the Hall sensor</t>
        </is>
      </c>
    </row>
    <row r="7">
      <c r="A7" s="7" t="n">
        <v>3</v>
      </c>
      <c r="B7" s="8" t="inlineStr">
        <is>
          <t>Base</t>
        </is>
      </c>
      <c r="C7" s="7" t="n">
        <v>2</v>
      </c>
      <c r="D7" s="8" t="inlineStr">
        <is>
          <t>Bolt, M4 x 15-20 mm</t>
        </is>
      </c>
      <c r="E7" s="8" t="inlineStr">
        <is>
          <t>Brake shoe fixing</t>
        </is>
      </c>
    </row>
    <row r="8">
      <c r="A8" s="7" t="n">
        <v>4</v>
      </c>
      <c r="B8" s="8" t="inlineStr">
        <is>
          <t>Base</t>
        </is>
      </c>
      <c r="C8" s="7" t="n">
        <v>1</v>
      </c>
      <c r="D8" s="8" t="inlineStr">
        <is>
          <t>Bolt, M6 x 20 mm, 10 mm hex head</t>
        </is>
      </c>
      <c r="E8" s="8" t="inlineStr">
        <is>
          <t>Friction adjuster</t>
        </is>
      </c>
    </row>
    <row r="9">
      <c r="A9" s="7" t="n">
        <v>5</v>
      </c>
      <c r="B9" s="8" t="inlineStr">
        <is>
          <t>Base</t>
        </is>
      </c>
      <c r="C9" s="7" t="n">
        <v>2</v>
      </c>
      <c r="D9" s="8" t="inlineStr">
        <is>
          <t>Bolt, M3 x 10 mm</t>
        </is>
      </c>
      <c r="E9" s="8" t="inlineStr">
        <is>
          <t>Side cover</t>
        </is>
      </c>
    </row>
    <row r="10">
      <c r="A10" s="7" t="n">
        <v>6</v>
      </c>
      <c r="B10" s="8" t="inlineStr">
        <is>
          <t>Base</t>
        </is>
      </c>
      <c r="C10" s="7" t="n">
        <v>2</v>
      </c>
      <c r="D10" s="8" t="inlineStr">
        <is>
          <t>Bolt, M3 x 15 mm</t>
        </is>
      </c>
      <c r="E10" s="8" t="inlineStr">
        <is>
          <t>Spring fixing</t>
        </is>
      </c>
    </row>
    <row r="11">
      <c r="A11" s="7" t="n">
        <v>7</v>
      </c>
      <c r="B11" s="8" t="inlineStr">
        <is>
          <t>Base</t>
        </is>
      </c>
      <c r="C11" s="7" t="n">
        <v>1</v>
      </c>
      <c r="D11" s="8" t="inlineStr">
        <is>
          <t>Tension spring, about 8.5 mm OD, 0.9 mm wire, 17 mm closed</t>
        </is>
      </c>
      <c r="E11" s="8" t="inlineStr">
        <is>
          <t>Adjust to taste</t>
        </is>
      </c>
    </row>
    <row r="12">
      <c r="A12" s="7" t="n">
        <v>8</v>
      </c>
      <c r="B12" s="8" t="inlineStr">
        <is>
          <t>Base</t>
        </is>
      </c>
      <c r="C12" s="7" t="n">
        <v>2</v>
      </c>
      <c r="D12" s="8" t="inlineStr">
        <is>
          <t>Velcro, loop side only, 20 mm wide x 60 mm</t>
        </is>
      </c>
      <c r="E12" s="8" t="inlineStr"/>
    </row>
    <row r="13">
      <c r="A13" s="7" t="n">
        <v>9</v>
      </c>
      <c r="B13" s="8" t="inlineStr">
        <is>
          <t>Head</t>
        </is>
      </c>
      <c r="C13" s="7" t="n">
        <v>2</v>
      </c>
      <c r="D13" s="8" t="inlineStr">
        <is>
          <t>Bolt, M3 x 20 mm</t>
        </is>
      </c>
      <c r="E13" s="8" t="inlineStr">
        <is>
          <t>Head to shaft fixing</t>
        </is>
      </c>
    </row>
    <row r="14">
      <c r="A14" s="7" t="n">
        <v>10</v>
      </c>
      <c r="B14" s="8" t="inlineStr">
        <is>
          <t>Head</t>
        </is>
      </c>
      <c r="C14" s="7" t="n">
        <v>6</v>
      </c>
      <c r="D14" s="8" t="inlineStr">
        <is>
          <t>Countersunk screw, #4 (4g) x 10-12 mm</t>
        </is>
      </c>
      <c r="E14" s="8" t="inlineStr"/>
    </row>
    <row r="15">
      <c r="A15" s="7" t="n">
        <v>11</v>
      </c>
      <c r="B15" s="8" t="inlineStr">
        <is>
          <t>Consumable</t>
        </is>
      </c>
      <c r="C15" s="7" t="n">
        <v>1</v>
      </c>
      <c r="D15" s="8" t="inlineStr">
        <is>
          <t>Bearing grease (not silicone paste), CA glue, hot glue</t>
        </is>
      </c>
      <c r="E15" s="8" t="inlineStr"/>
    </row>
  </sheetData>
  <mergeCells count="1">
    <mergeCell ref="A2:E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2026-10-22T06:42:57Z</dcterms:created>
  <dcterms:modified xsi:type="dcterms:W3CDTF">2026-10-22T06:42:57Z</dcterms:modified>
</cp:coreProperties>
</file>