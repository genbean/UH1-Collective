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BOM" sheetId="1" state="visible" r:id="rId1"/>
  </sheets>
  <definedNames>
    <definedName name="_xlnm.Print_Titles" localSheetId="0">'Board BOM'!$5:$5</definedName>
  </definedNames>
  <calcPr calcId="124519" fullCalcOnLoad="1"/>
</workbook>
</file>

<file path=xl/styles.xml><?xml version="1.0" encoding="utf-8"?>
<styleSheet xmlns="http://schemas.openxmlformats.org/spreadsheetml/2006/main">
  <numFmts count="1">
    <numFmt numFmtId="164" formatCode="&quot;$&quot;#,##0.00;-&quot;$&quot;#,##0.00;&quot;-&quot;"/>
  </numFmts>
  <fonts count="8">
    <font>
      <name val="Calibri"/>
      <family val="2"/>
      <color theme="1"/>
      <sz val="11"/>
      <scheme val="minor"/>
    </font>
    <font>
      <name val="Arial"/>
      <b val="1"/>
      <sz val="14"/>
    </font>
    <font>
      <name val="Arial"/>
      <i val="1"/>
      <color rgb="00595959"/>
      <sz val="10"/>
    </font>
    <font>
      <name val="Arial"/>
      <b val="1"/>
      <sz val="10"/>
    </font>
    <font>
      <name val="Arial"/>
      <b val="1"/>
      <color rgb="000000FF"/>
      <sz val="10"/>
    </font>
    <font>
      <name val="Arial"/>
      <b val="1"/>
      <color rgb="00FFFFFF"/>
      <sz val="10"/>
    </font>
    <font>
      <name val="Arial"/>
      <sz val="10"/>
    </font>
    <font>
      <name val="Arial"/>
      <color rgb="000563C1"/>
      <sz val="10"/>
      <u val="single"/>
    </font>
  </fonts>
  <fills count="5">
    <fill>
      <patternFill/>
    </fill>
    <fill>
      <patternFill patternType="gray125"/>
    </fill>
    <fill>
      <patternFill patternType="solid">
        <fgColor rgb="00FFFF00"/>
      </patternFill>
    </fill>
    <fill>
      <patternFill patternType="solid">
        <fgColor rgb="001F3864"/>
      </patternFill>
    </fill>
    <fill>
      <patternFill patternType="solid">
        <fgColor rgb="00D9E1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top"/>
    </xf>
    <xf numFmtId="0" fontId="2" fillId="0" borderId="0" pivotButton="0" quotePrefix="0" xfId="0"/>
    <xf numFmtId="0" fontId="5" fillId="3" borderId="1" applyAlignment="1" pivotButton="0" quotePrefix="0" xfId="0">
      <alignment vertical="center" wrapText="1"/>
    </xf>
    <xf numFmtId="0" fontId="3" fillId="4" borderId="1" pivotButton="0" quotePrefix="0" xfId="0"/>
    <xf numFmtId="0" fontId="0" fillId="0" borderId="4" pivotButton="0" quotePrefix="0" xfId="0"/>
    <xf numFmtId="0" fontId="0" fillId="0" borderId="5" pivotButton="0" quotePrefix="0" xfId="0"/>
    <xf numFmtId="0" fontId="6" fillId="0" borderId="1" applyAlignment="1" pivotButton="0" quotePrefix="0" xfId="0">
      <alignment horizontal="center" vertical="top"/>
    </xf>
    <xf numFmtId="0" fontId="6" fillId="0" borderId="1" applyAlignment="1" pivotButton="0" quotePrefix="0" xfId="0">
      <alignment vertical="top" wrapText="1"/>
    </xf>
    <xf numFmtId="0" fontId="7" fillId="0" borderId="1" applyAlignment="1" pivotButton="0" quotePrefix="0" xfId="0">
      <alignment vertical="top" wrapText="1"/>
    </xf>
    <xf numFmtId="164" fontId="6" fillId="0" borderId="1"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ikey.com/en/products/result?keywords=296-8250-1-ND" TargetMode="External" Id="rId1" /><Relationship Type="http://schemas.openxmlformats.org/officeDocument/2006/relationships/hyperlink" Target="https://www.digikey.com/en/products/result?keywords=4609X-101-103LF-ND" TargetMode="External" Id="rId2" /><Relationship Type="http://schemas.openxmlformats.org/officeDocument/2006/relationships/hyperlink" Target="https://www.digikey.com/en/products/result?keywords=1276-1017-1-ND" TargetMode="External" Id="rId3" /><Relationship Type="http://schemas.openxmlformats.org/officeDocument/2006/relationships/hyperlink" Target="https://www.digikey.com/en/products/result?keywords=1276-1287-1-ND" TargetMode="External" Id="rId4" /><Relationship Type="http://schemas.openxmlformats.org/officeDocument/2006/relationships/hyperlink" Target="https://www.digikey.com/en/products/result?keywords=296-21770-1-ND" TargetMode="External" Id="rId5" /><Relationship Type="http://schemas.openxmlformats.org/officeDocument/2006/relationships/hyperlink" Target="https://www.digikey.com/en/products/result?keywords=311-2.20KFRCT-ND" TargetMode="External" Id="rId6" /><Relationship Type="http://schemas.openxmlformats.org/officeDocument/2006/relationships/hyperlink" Target="https://www.digikey.com/en/products/result?keywords=311-10.0KFRCT-ND" TargetMode="External" Id="rId7" /><Relationship Type="http://schemas.openxmlformats.org/officeDocument/2006/relationships/hyperlink" Target="https://www.digikey.com/en/products/result?keywords=EG4344CT-ND" TargetMode="External" Id="rId8" /><Relationship Type="http://schemas.openxmlformats.org/officeDocument/2006/relationships/hyperlink" Target="https://www.digikey.com/en/products/result?keywords=455-BM10B-SRSS-TBTCT-ND" TargetMode="External" Id="rId9" /><Relationship Type="http://schemas.openxmlformats.org/officeDocument/2006/relationships/hyperlink" Target="https://www.digikey.com/en/products/result?keywords=455-BM04B-SRSS-TBTCT-ND" TargetMode="External" Id="rId10" /><Relationship Type="http://schemas.openxmlformats.org/officeDocument/2006/relationships/hyperlink" Target="https://www.digikey.com/en/products/result?keywords=S6100-ND" TargetMode="External" Id="rId11" /><Relationship Type="http://schemas.openxmlformats.org/officeDocument/2006/relationships/hyperlink" Target="https://www.digikey.com/en/products/result?keywords=1568-12640-ND" TargetMode="External" Id="rId12" /><Relationship Type="http://schemas.openxmlformats.org/officeDocument/2006/relationships/hyperlink" Target="https://www.digikey.com/en/products/result?keywords=35-PRPC012SAAN-RC-ND" TargetMode="External" Id="rId13" /></Relationships>
</file>

<file path=xl/worksheets/sheet1.xml><?xml version="1.0" encoding="utf-8"?>
<worksheet xmlns="http://schemas.openxmlformats.org/spreadsheetml/2006/main">
  <sheetPr>
    <outlinePr summaryBelow="1" summaryRight="1"/>
    <pageSetUpPr fitToPage="1"/>
  </sheetPr>
  <dimension ref="A1:M25"/>
  <sheetViews>
    <sheetView workbookViewId="0">
      <pane ySplit="5" topLeftCell="A6" activePane="bottomLeft" state="frozen"/>
      <selection pane="bottomLeft" activeCell="A1" sqref="A1"/>
    </sheetView>
  </sheetViews>
  <sheetFormatPr baseColWidth="8" defaultRowHeight="15"/>
  <cols>
    <col width="4" customWidth="1" min="1" max="1"/>
    <col width="12" customWidth="1" min="2" max="2"/>
    <col width="8" customWidth="1" min="3" max="3"/>
    <col width="8" customWidth="1" min="4" max="4"/>
    <col width="13" customWidth="1" min="5" max="5"/>
    <col width="36" customWidth="1" min="6" max="6"/>
    <col width="30" customWidth="1" min="7" max="7"/>
    <col width="15" customWidth="1" min="8" max="8"/>
    <col width="18" customWidth="1" min="9" max="9"/>
    <col width="25" customWidth="1" min="10" max="10"/>
    <col width="9" customWidth="1" min="11" max="11"/>
    <col width="10" customWidth="1" min="12" max="12"/>
    <col width="46" customWidth="1" min="13" max="13"/>
  </cols>
  <sheetData>
    <row r="1">
      <c r="A1" s="1" t="inlineStr">
        <is>
          <t>HeliSR Rev 4.0 - board BOM</t>
        </is>
      </c>
    </row>
    <row r="2" ht="42" customHeight="1">
      <c r="A2" s="2" t="inlineStr">
        <is>
          <t>The parts you solder onto the bare HeliSR Rev 4.0 PCB, checked against the board file. Rev 4.0 has not been ordered. The front carries the connectors, the button and Rev 3.0's parts; the back carries U3, C4 and R1-R11. Every resistor and capacitor is 1206. The Pro Micro and its pin headers are listed separately at the end. Unit prices for the parts carried over from Rev 3.0 are single-unit Digi-Key prices from the Rev 3.0 cart (2026-10-19 to 2026-10-22). The new Rev 4.0 parts are priced from distributor listings found on 2026-10-26 (PCA9546ADR: Digi-Key cut tape; BM04B-SRSS-TBT: Digi-Key via an aggregator) or, for the 1206 resistors, at the Rev 3.0 0805 resistor's price: check them in the cart. Before shipping and tariff. The bare PCB is priced at a third of an OSH Park order of three (Rev 3.0: $10.20).</t>
        </is>
      </c>
    </row>
    <row r="3">
      <c r="A3" s="3" t="inlineStr">
        <is>
          <t>Boards to build</t>
        </is>
      </c>
      <c r="C3" s="4" t="n">
        <v>1</v>
      </c>
      <c r="D3" s="5" t="inlineStr">
        <is>
          <t>Edit the yellow cell. Quantities to order and prices follow from it.</t>
        </is>
      </c>
    </row>
    <row r="5" ht="28" customHeight="1">
      <c r="A5" s="6" t="inlineStr">
        <is>
          <t>#</t>
        </is>
      </c>
      <c r="B5" s="6" t="inlineStr">
        <is>
          <t>Reference</t>
        </is>
      </c>
      <c r="C5" s="6" t="inlineStr">
        <is>
          <t>Qty per board</t>
        </is>
      </c>
      <c r="D5" s="6" t="inlineStr">
        <is>
          <t>Qty to order</t>
        </is>
      </c>
      <c r="E5" s="6" t="inlineStr">
        <is>
          <t>Value</t>
        </is>
      </c>
      <c r="F5" s="6" t="inlineStr">
        <is>
          <t>Description</t>
        </is>
      </c>
      <c r="G5" s="6" t="inlineStr">
        <is>
          <t>Footprint</t>
        </is>
      </c>
      <c r="H5" s="6" t="inlineStr">
        <is>
          <t>Manufacturer</t>
        </is>
      </c>
      <c r="I5" s="6" t="inlineStr">
        <is>
          <t>Mfr part number</t>
        </is>
      </c>
      <c r="J5" s="6" t="inlineStr">
        <is>
          <t>Digi-Key part number</t>
        </is>
      </c>
      <c r="K5" s="6" t="inlineStr">
        <is>
          <t>Unit price</t>
        </is>
      </c>
      <c r="L5" s="6" t="inlineStr">
        <is>
          <t>Ext. price</t>
        </is>
      </c>
      <c r="M5" s="6" t="inlineStr">
        <is>
          <t>Notes</t>
        </is>
      </c>
    </row>
    <row r="6">
      <c r="A6" s="7" t="inlineStr">
        <is>
          <t>Soldered to the board</t>
        </is>
      </c>
      <c r="B6" s="8" t="n"/>
      <c r="C6" s="8" t="n"/>
      <c r="D6" s="8" t="n"/>
      <c r="E6" s="8" t="n"/>
      <c r="F6" s="8" t="n"/>
      <c r="G6" s="8" t="n"/>
      <c r="H6" s="8" t="n"/>
      <c r="I6" s="8" t="n"/>
      <c r="J6" s="8" t="n"/>
      <c r="K6" s="8" t="n"/>
      <c r="L6" s="8" t="n"/>
      <c r="M6" s="9" t="n"/>
    </row>
    <row r="7">
      <c r="A7" s="10" t="n">
        <v>1</v>
      </c>
      <c r="B7" s="11" t="inlineStr">
        <is>
          <t>U1, U2</t>
        </is>
      </c>
      <c r="C7" s="10" t="n">
        <v>2</v>
      </c>
      <c r="D7" s="10">
        <f>C7*$C$3</f>
        <v/>
      </c>
      <c r="E7" s="11" t="inlineStr">
        <is>
          <t>74HC165</t>
        </is>
      </c>
      <c r="F7" s="11" t="inlineStr">
        <is>
          <t>Shift register, 74HC165, SOIC-16</t>
        </is>
      </c>
      <c r="G7" s="11" t="inlineStr">
        <is>
          <t>SOIC-16_3.9x9.9mm_P1.27mm</t>
        </is>
      </c>
      <c r="H7" s="11" t="inlineStr">
        <is>
          <t>Texas Instruments</t>
        </is>
      </c>
      <c r="I7" s="11" t="inlineStr">
        <is>
          <t>SN74HC165DR</t>
        </is>
      </c>
      <c r="J7" s="12" t="inlineStr">
        <is>
          <t>296-8250-1-ND</t>
        </is>
      </c>
      <c r="K7" s="13" t="n">
        <v>0.5</v>
      </c>
      <c r="L7" s="13">
        <f>IF(K7="","",D7*K7)</f>
        <v/>
      </c>
      <c r="M7" s="11" t="inlineStr">
        <is>
          <t>Front, under the Pro Micro: fit before the sockets</t>
        </is>
      </c>
    </row>
    <row r="8">
      <c r="A8" s="10" t="n">
        <v>2</v>
      </c>
      <c r="B8" s="11" t="inlineStr">
        <is>
          <t>RN1, RN2</t>
        </is>
      </c>
      <c r="C8" s="10" t="n">
        <v>2</v>
      </c>
      <c r="D8" s="10">
        <f>C8*$C$3</f>
        <v/>
      </c>
      <c r="E8" s="11" t="inlineStr">
        <is>
          <t>10k x8 bussed</t>
        </is>
      </c>
      <c r="F8" s="11" t="inlineStr">
        <is>
          <t>Resistor network, 8 x 10 kOhm bussed, SIP-9</t>
        </is>
      </c>
      <c r="G8" s="11" t="inlineStr">
        <is>
          <t>R_Array_SIP9</t>
        </is>
      </c>
      <c r="H8" s="11" t="inlineStr">
        <is>
          <t>Bourns</t>
        </is>
      </c>
      <c r="I8" s="11" t="inlineStr">
        <is>
          <t>4609X-101-103LF</t>
        </is>
      </c>
      <c r="J8" s="12" t="inlineStr">
        <is>
          <t>4609X-101-103LF-ND</t>
        </is>
      </c>
      <c r="K8" s="13" t="n">
        <v>0.39</v>
      </c>
      <c r="L8" s="13">
        <f>IF(K8="","",D8*K8)</f>
        <v/>
      </c>
      <c r="M8" s="11" t="inlineStr">
        <is>
          <t>Pin 1 (dot) is the common pin: it goes in the square pad. Keep upright</t>
        </is>
      </c>
    </row>
    <row r="9">
      <c r="A9" s="10" t="n">
        <v>3</v>
      </c>
      <c r="B9" s="11" t="inlineStr">
        <is>
          <t>C1, C2, C4</t>
        </is>
      </c>
      <c r="C9" s="10" t="n">
        <v>3</v>
      </c>
      <c r="D9" s="10">
        <f>C9*$C$3</f>
        <v/>
      </c>
      <c r="E9" s="11" t="inlineStr">
        <is>
          <t>100nF</t>
        </is>
      </c>
      <c r="F9" s="11" t="inlineStr">
        <is>
          <t>Capacitor, 100 nF, 50 V, X7R, 1206</t>
        </is>
      </c>
      <c r="G9" s="11" t="inlineStr">
        <is>
          <t>C_1206_3216Metric</t>
        </is>
      </c>
      <c r="H9" s="11" t="inlineStr">
        <is>
          <t>Samsung</t>
        </is>
      </c>
      <c r="I9" s="11" t="inlineStr">
        <is>
          <t>CL31B104KBCNNNC</t>
        </is>
      </c>
      <c r="J9" s="12" t="inlineStr">
        <is>
          <t>1276-1017-1-ND</t>
        </is>
      </c>
      <c r="K9" s="13" t="n">
        <v>0.14</v>
      </c>
      <c r="L9" s="13">
        <f>IF(K9="","",D9*K9)</f>
        <v/>
      </c>
      <c r="M9" s="11" t="inlineStr">
        <is>
          <t>Decoupling: C1 beside U1's VCC pin, C2 beside U2's (front); C4 beside U3's (back)</t>
        </is>
      </c>
    </row>
    <row r="10">
      <c r="A10" s="10" t="n">
        <v>4</v>
      </c>
      <c r="B10" s="11" t="inlineStr">
        <is>
          <t>C3</t>
        </is>
      </c>
      <c r="C10" s="10" t="n">
        <v>1</v>
      </c>
      <c r="D10" s="10">
        <f>C10*$C$3</f>
        <v/>
      </c>
      <c r="E10" s="11" t="inlineStr">
        <is>
          <t>22uF</t>
        </is>
      </c>
      <c r="F10" s="11" t="inlineStr">
        <is>
          <t>Capacitor, 22 uF, 10 V, X5R, 1206</t>
        </is>
      </c>
      <c r="G10" s="11" t="inlineStr">
        <is>
          <t>C_1206_3216Metric</t>
        </is>
      </c>
      <c r="H10" s="11" t="inlineStr">
        <is>
          <t>Samsung</t>
        </is>
      </c>
      <c r="I10" s="11" t="inlineStr">
        <is>
          <t>CL31A226KPHNNNE</t>
        </is>
      </c>
      <c r="J10" s="12" t="inlineStr">
        <is>
          <t>1276-1287-1-ND</t>
        </is>
      </c>
      <c r="K10" s="13" t="n">
        <v>0.47</v>
      </c>
      <c r="L10" s="13">
        <f>IF(K10="","",D10*K10)</f>
        <v/>
      </c>
      <c r="M10" s="11" t="inlineStr">
        <is>
          <t>Bulk supply capacitor, between U1 and U2</t>
        </is>
      </c>
    </row>
    <row r="11">
      <c r="A11" s="10" t="n">
        <v>5</v>
      </c>
      <c r="B11" s="11" t="inlineStr">
        <is>
          <t>U3</t>
        </is>
      </c>
      <c r="C11" s="10" t="n">
        <v>1</v>
      </c>
      <c r="D11" s="10">
        <f>C11*$C$3</f>
        <v/>
      </c>
      <c r="E11" s="11" t="inlineStr">
        <is>
          <t>PCA9546A</t>
        </is>
      </c>
      <c r="F11" s="11" t="inlineStr">
        <is>
          <t>I2C switch, 4 channels, with reset, SOIC-16 (narrow, D package)</t>
        </is>
      </c>
      <c r="G11" s="11" t="inlineStr">
        <is>
          <t>SOIC-16_3.9x9.9mm_P1.27mm</t>
        </is>
      </c>
      <c r="H11" s="11" t="inlineStr">
        <is>
          <t>Texas Instruments</t>
        </is>
      </c>
      <c r="I11" s="11" t="inlineStr">
        <is>
          <t>PCA9546ADR</t>
        </is>
      </c>
      <c r="J11" s="12" t="inlineStr">
        <is>
          <t>296-21770-1-ND</t>
        </is>
      </c>
      <c r="K11" s="13" t="n">
        <v>1.82</v>
      </c>
      <c r="L11" s="13">
        <f>IF(K11="","",D11*K11)</f>
        <v/>
      </c>
      <c r="M11" s="11" t="inlineStr">
        <is>
          <t>Back. Gives each AS5600 port its own I2C channel (they all answer at 0x36). Not the wide DW package</t>
        </is>
      </c>
    </row>
    <row r="12">
      <c r="A12" s="10" t="n">
        <v>6</v>
      </c>
      <c r="B12" s="11" t="inlineStr">
        <is>
          <t>R1-R8</t>
        </is>
      </c>
      <c r="C12" s="10" t="n">
        <v>8</v>
      </c>
      <c r="D12" s="10">
        <f>C12*$C$3</f>
        <v/>
      </c>
      <c r="E12" s="11" t="inlineStr">
        <is>
          <t>2.2k</t>
        </is>
      </c>
      <c r="F12" s="11" t="inlineStr">
        <is>
          <t>Resistor, 2.2 kOhm, 1 %, 1/4 W, 1206</t>
        </is>
      </c>
      <c r="G12" s="11" t="inlineStr">
        <is>
          <t>R_1206_3216Metric</t>
        </is>
      </c>
      <c r="H12" s="11" t="inlineStr">
        <is>
          <t>YAGEO</t>
        </is>
      </c>
      <c r="I12" s="11" t="inlineStr">
        <is>
          <t>RC1206FR-072K2L</t>
        </is>
      </c>
      <c r="J12" s="12" t="inlineStr">
        <is>
          <t>311-2.20KFRCT-ND</t>
        </is>
      </c>
      <c r="K12" s="13" t="n">
        <v>0.1</v>
      </c>
      <c r="L12" s="13">
        <f>IF(K12="","",D12*K12)</f>
        <v/>
      </c>
      <c r="M12" s="11" t="inlineStr">
        <is>
          <t>Back: the ports' I2C pull-ups, a pair under each port (R1/R2 AX1, R3/R4 AX2, R5/R6 AX3, R7/R8 AX4; the odd one SDA, the even one SCL)</t>
        </is>
      </c>
    </row>
    <row r="13">
      <c r="A13" s="10" t="n">
        <v>7</v>
      </c>
      <c r="B13" s="11" t="inlineStr">
        <is>
          <t>R9-R11</t>
        </is>
      </c>
      <c r="C13" s="10" t="n">
        <v>3</v>
      </c>
      <c r="D13" s="10">
        <f>C13*$C$3</f>
        <v/>
      </c>
      <c r="E13" s="11" t="inlineStr">
        <is>
          <t>10k</t>
        </is>
      </c>
      <c r="F13" s="11" t="inlineStr">
        <is>
          <t>Resistor, 10 kOhm, 1 %, 1/4 W, 1206</t>
        </is>
      </c>
      <c r="G13" s="11" t="inlineStr">
        <is>
          <t>R_1206_3216Metric</t>
        </is>
      </c>
      <c r="H13" s="11" t="inlineStr">
        <is>
          <t>YAGEO</t>
        </is>
      </c>
      <c r="I13" s="11" t="inlineStr">
        <is>
          <t>RC1206FR-0710KL</t>
        </is>
      </c>
      <c r="J13" s="12" t="inlineStr">
        <is>
          <t>311-10.0KFRCT-ND</t>
        </is>
      </c>
      <c r="K13" s="13" t="n">
        <v>0.1</v>
      </c>
      <c r="L13" s="13">
        <f>IF(K13="","",D13*K13)</f>
        <v/>
      </c>
      <c r="M13" s="11" t="inlineStr">
        <is>
          <t>Back: pull-ups on the Pro Micro's SDA (R9) and SCL (R10), and on U3's /RESET (R11). Any 1 % 1206 10 kOhm resistor will do if this one is out of stock</t>
        </is>
      </c>
    </row>
    <row r="14">
      <c r="A14" s="10" t="n">
        <v>8</v>
      </c>
      <c r="B14" s="11" t="inlineStr">
        <is>
          <t>SW1</t>
        </is>
      </c>
      <c r="C14" s="10" t="n">
        <v>1</v>
      </c>
      <c r="D14" s="10">
        <f>C14*$C$3</f>
        <v/>
      </c>
      <c r="E14" s="11" t="inlineStr">
        <is>
          <t>TL1015AF160QG</t>
        </is>
      </c>
      <c r="F14" s="11" t="inlineStr">
        <is>
          <t>Tactile switch, SMD, 3.9 x 2.9 mm, gull wing</t>
        </is>
      </c>
      <c r="G14" s="11" t="inlineStr">
        <is>
          <t>SW_TL1015AF160QG</t>
        </is>
      </c>
      <c r="H14" s="11" t="inlineStr">
        <is>
          <t>E-Switch</t>
        </is>
      </c>
      <c r="I14" s="11" t="inlineStr">
        <is>
          <t>TL1015AF160QG</t>
        </is>
      </c>
      <c r="J14" s="12" t="inlineStr">
        <is>
          <t>EG4344CT-ND</t>
        </is>
      </c>
      <c r="K14" s="13" t="n">
        <v>0.48</v>
      </c>
      <c r="L14" s="13">
        <f>IF(K14="","",D14*K14)</f>
        <v/>
      </c>
      <c r="M14" s="11" t="inlineStr">
        <is>
          <t>RST, at the far end between AX4 and AX2. The four ground tabs are left unsoldered</t>
        </is>
      </c>
    </row>
    <row r="15">
      <c r="A15" s="10" t="n">
        <v>9</v>
      </c>
      <c r="B15" s="11" t="inlineStr">
        <is>
          <t>J1, J2</t>
        </is>
      </c>
      <c r="C15" s="10" t="n">
        <v>2</v>
      </c>
      <c r="D15" s="10">
        <f>C15*$C$3</f>
        <v/>
      </c>
      <c r="E15" s="11" t="inlineStr">
        <is>
          <t>Inputs 1-8, Inputs 9-16</t>
        </is>
      </c>
      <c r="F15" s="11" t="inlineStr">
        <is>
          <t>JST SR/SH header, 10-pin, 1.0 mm, SMD, top entry</t>
        </is>
      </c>
      <c r="G15" s="11" t="inlineStr">
        <is>
          <t>JST_SH_BM10B-SRSS-TB_1x10-1MP_P1.00mm_Vertical</t>
        </is>
      </c>
      <c r="H15" s="11" t="inlineStr">
        <is>
          <t>JST</t>
        </is>
      </c>
      <c r="I15" s="11" t="inlineStr">
        <is>
          <t>BM10B-SRSS-TBT</t>
        </is>
      </c>
      <c r="J15" s="12" t="inlineStr">
        <is>
          <t>455-BM10B-SRSS-TBTCT-ND</t>
        </is>
      </c>
      <c r="K15" s="13" t="n">
        <v>1.19</v>
      </c>
      <c r="L15" s="13">
        <f>IF(K15="","",D15*K15)</f>
        <v/>
      </c>
      <c r="M15" s="11" t="inlineStr">
        <is>
          <t>Switch inputs: J1 IN1-IN8, J2 IN9-IN16. Digi-Key estimates $0.33 tariff each on top</t>
        </is>
      </c>
    </row>
    <row r="16">
      <c r="A16" s="10" t="n">
        <v>10</v>
      </c>
      <c r="B16" s="11" t="inlineStr">
        <is>
          <t>J11-J14</t>
        </is>
      </c>
      <c r="C16" s="10" t="n">
        <v>4</v>
      </c>
      <c r="D16" s="10">
        <f>C16*$C$3</f>
        <v/>
      </c>
      <c r="E16" s="11" t="inlineStr">
        <is>
          <t>AX1 (I2C), AX2 (I2C), AX3 (I2C), AX4 (I2C)</t>
        </is>
      </c>
      <c r="F16" s="11" t="inlineStr">
        <is>
          <t>JST SR/SH header, 4-pin, 1.0 mm, SMD, top entry</t>
        </is>
      </c>
      <c r="G16" s="11" t="inlineStr">
        <is>
          <t>JST_SH_BM04B-SRSS-TB_1x04-1MP_P1.00mm_Vertical</t>
        </is>
      </c>
      <c r="H16" s="11" t="inlineStr">
        <is>
          <t>JST</t>
        </is>
      </c>
      <c r="I16" s="11" t="inlineStr">
        <is>
          <t>BM04B-SRSS-TBT</t>
        </is>
      </c>
      <c r="J16" s="12" t="inlineStr">
        <is>
          <t>455-BM04B-SRSS-TBTCT-ND</t>
        </is>
      </c>
      <c r="K16" s="13" t="n">
        <v>0.71</v>
      </c>
      <c r="L16" s="13">
        <f>IF(K16="","",D16*K16)</f>
        <v/>
      </c>
      <c r="M16" s="11" t="inlineStr">
        <is>
          <t>AS5600 ports AX1-AX4 (J11-J14): 1 SDA, 2 GND, 3 VCC, 4 SCL. Fit all four, or only the ports you use</t>
        </is>
      </c>
    </row>
    <row r="17">
      <c r="A17" s="10" t="n">
        <v>11</v>
      </c>
      <c r="B17" s="11" t="inlineStr">
        <is>
          <t>J7, J8</t>
        </is>
      </c>
      <c r="C17" s="10" t="n">
        <v>2</v>
      </c>
      <c r="D17" s="10">
        <f>C17*$C$3</f>
        <v/>
      </c>
      <c r="E17" s="11" t="inlineStr">
        <is>
          <t>Pro Micro pins 1-12, Pro Micro pins 13-24</t>
        </is>
      </c>
      <c r="F17" s="11" t="inlineStr">
        <is>
          <t>Socket header, female, 1x12, 2.54 mm, through hole</t>
        </is>
      </c>
      <c r="G17" s="11" t="inlineStr">
        <is>
          <t>PinSocket_1x12_P2.54mm_Vertical</t>
        </is>
      </c>
      <c r="H17" s="11" t="inlineStr">
        <is>
          <t>Sullins</t>
        </is>
      </c>
      <c r="I17" s="11" t="inlineStr">
        <is>
          <t>PPTC121LFBN-RC</t>
        </is>
      </c>
      <c r="J17" s="12" t="inlineStr">
        <is>
          <t>S6100-ND</t>
        </is>
      </c>
      <c r="K17" s="13" t="n">
        <v>0.75</v>
      </c>
      <c r="L17" s="13">
        <f>IF(K17="","",D17*K17)</f>
        <v/>
      </c>
      <c r="M17" s="11" t="inlineStr">
        <is>
          <t>Pro Micro sockets. Fit last</t>
        </is>
      </c>
    </row>
    <row r="18">
      <c r="A18" s="10" t="n">
        <v>12</v>
      </c>
      <c r="B18" s="11" t="inlineStr">
        <is>
          <t>PCB</t>
        </is>
      </c>
      <c r="C18" s="10" t="n">
        <v>1</v>
      </c>
      <c r="D18" s="10">
        <f>C18*$C$3</f>
        <v/>
      </c>
      <c r="E18" s="11" t="inlineStr">
        <is>
          <t>HeliSR Rev 4.0</t>
        </is>
      </c>
      <c r="F18" s="11" t="inlineStr">
        <is>
          <t>Bare PCB (no parts fitted), 2 layers, 1.6 mm FR4, 39.3 x 33.64 mm</t>
        </is>
      </c>
      <c r="G18" s="11" t="inlineStr"/>
      <c r="H18" s="11" t="inlineStr">
        <is>
          <t>OSH Park</t>
        </is>
      </c>
      <c r="I18" s="11" t="inlineStr"/>
      <c r="J18" s="11" t="inlineStr"/>
      <c r="K18" s="13" t="n">
        <v>3.4</v>
      </c>
      <c r="L18" s="13">
        <f>IF(K18="","",D18*K18)</f>
        <v/>
      </c>
      <c r="M18" s="11" t="inlineStr">
        <is>
          <t>Not ordered yet. Priced as Rev 3.0: $10.20 for three bare boards from OSH Park</t>
        </is>
      </c>
    </row>
    <row r="19">
      <c r="K19" s="3" t="inlineStr">
        <is>
          <t>Subtotal</t>
        </is>
      </c>
      <c r="L19" s="14">
        <f>SUM(L7:L18)</f>
        <v/>
      </c>
    </row>
    <row r="20">
      <c r="A20" s="7" t="inlineStr">
        <is>
          <t>Plugs into the board (the Pro Micro and its headers)</t>
        </is>
      </c>
      <c r="B20" s="8" t="n"/>
      <c r="C20" s="8" t="n"/>
      <c r="D20" s="8" t="n"/>
      <c r="E20" s="8" t="n"/>
      <c r="F20" s="8" t="n"/>
      <c r="G20" s="8" t="n"/>
      <c r="H20" s="8" t="n"/>
      <c r="I20" s="8" t="n"/>
      <c r="J20" s="8" t="n"/>
      <c r="K20" s="8" t="n"/>
      <c r="L20" s="8" t="n"/>
      <c r="M20" s="9" t="n"/>
    </row>
    <row r="21">
      <c r="A21" s="10" t="n">
        <v>13</v>
      </c>
      <c r="B21" s="11" t="inlineStr">
        <is>
          <t>Module</t>
        </is>
      </c>
      <c r="C21" s="10" t="n">
        <v>1</v>
      </c>
      <c r="D21" s="10">
        <f>C21*$C$3</f>
        <v/>
      </c>
      <c r="E21" s="11" t="inlineStr"/>
      <c r="F21" s="11" t="inlineStr">
        <is>
          <t>Pro Micro 5V/16 MHz, ATmega32U4</t>
        </is>
      </c>
      <c r="G21" s="11" t="inlineStr"/>
      <c r="H21" s="11" t="inlineStr">
        <is>
          <t>SparkFun</t>
        </is>
      </c>
      <c r="I21" s="11" t="inlineStr">
        <is>
          <t>12640</t>
        </is>
      </c>
      <c r="J21" s="12" t="inlineStr">
        <is>
          <t>1568-12640-ND</t>
        </is>
      </c>
      <c r="K21" s="13" t="n">
        <v>23.99</v>
      </c>
      <c r="L21" s="13">
        <f>IF(K21="","",D21*K21)</f>
        <v/>
      </c>
      <c r="M21" s="11" t="inlineStr">
        <is>
          <t>Runs the HeliSR firmware (Rev 4.0 build). Plugs into J7/J8</t>
        </is>
      </c>
    </row>
    <row r="22">
      <c r="A22" s="10" t="n">
        <v>14</v>
      </c>
      <c r="B22" s="11" t="inlineStr">
        <is>
          <t>Module</t>
        </is>
      </c>
      <c r="C22" s="10" t="n">
        <v>2</v>
      </c>
      <c r="D22" s="10">
        <f>C22*$C$3</f>
        <v/>
      </c>
      <c r="E22" s="11" t="inlineStr"/>
      <c r="F22" s="11" t="inlineStr">
        <is>
          <t>Pin header, male, 1x12, 2.54 mm</t>
        </is>
      </c>
      <c r="G22" s="11" t="inlineStr"/>
      <c r="H22" s="11" t="inlineStr">
        <is>
          <t>Sullins</t>
        </is>
      </c>
      <c r="I22" s="11" t="inlineStr">
        <is>
          <t>PRPC012SAAN-RC</t>
        </is>
      </c>
      <c r="J22" s="12" t="inlineStr">
        <is>
          <t>35-PRPC012SAAN-RC-ND</t>
        </is>
      </c>
      <c r="K22" s="13" t="n">
        <v>0.24</v>
      </c>
      <c r="L22" s="13">
        <f>IF(K22="","",D22*K22)</f>
        <v/>
      </c>
      <c r="M22" s="11" t="inlineStr">
        <is>
          <t>Soldered to the Pro Micro</t>
        </is>
      </c>
    </row>
    <row r="23">
      <c r="K23" s="3" t="inlineStr">
        <is>
          <t>Subtotal</t>
        </is>
      </c>
      <c r="L23" s="14">
        <f>SUM(L21:L22)</f>
        <v/>
      </c>
    </row>
    <row r="24">
      <c r="K24" s="3" t="inlineStr">
        <is>
          <t>Total</t>
        </is>
      </c>
      <c r="L24" s="14">
        <f>L19+L23</f>
        <v/>
      </c>
    </row>
    <row r="25">
      <c r="A25" s="5" t="inlineStr">
        <is>
          <t>The bare PCB counts as a third of an OSH Park order of three ($10.20 for Rev 3.0).</t>
        </is>
      </c>
    </row>
  </sheetData>
  <mergeCells count="6">
    <mergeCell ref="A6:M6"/>
    <mergeCell ref="D3:M3"/>
    <mergeCell ref="A2:M2"/>
    <mergeCell ref="A25:M25"/>
    <mergeCell ref="A20:M20"/>
    <mergeCell ref="A3:B3"/>
  </mergeCells>
  <hyperlinks>
    <hyperlink xmlns:r="http://schemas.openxmlformats.org/officeDocument/2006/relationships" ref="J7" r:id="rId1"/>
    <hyperlink xmlns:r="http://schemas.openxmlformats.org/officeDocument/2006/relationships" ref="J8" r:id="rId2"/>
    <hyperlink xmlns:r="http://schemas.openxmlformats.org/officeDocument/2006/relationships" ref="J9" r:id="rId3"/>
    <hyperlink xmlns:r="http://schemas.openxmlformats.org/officeDocument/2006/relationships" ref="J10" r:id="rId4"/>
    <hyperlink xmlns:r="http://schemas.openxmlformats.org/officeDocument/2006/relationships" ref="J11" r:id="rId5"/>
    <hyperlink xmlns:r="http://schemas.openxmlformats.org/officeDocument/2006/relationships" ref="J12" r:id="rId6"/>
    <hyperlink xmlns:r="http://schemas.openxmlformats.org/officeDocument/2006/relationships" ref="J13" r:id="rId7"/>
    <hyperlink xmlns:r="http://schemas.openxmlformats.org/officeDocument/2006/relationships" ref="J14" r:id="rId8"/>
    <hyperlink xmlns:r="http://schemas.openxmlformats.org/officeDocument/2006/relationships" ref="J15" r:id="rId9"/>
    <hyperlink xmlns:r="http://schemas.openxmlformats.org/officeDocument/2006/relationships" ref="J16" r:id="rId10"/>
    <hyperlink xmlns:r="http://schemas.openxmlformats.org/officeDocument/2006/relationships" ref="J17" r:id="rId11"/>
    <hyperlink xmlns:r="http://schemas.openxmlformats.org/officeDocument/2006/relationships" ref="J21" r:id="rId12"/>
    <hyperlink xmlns:r="http://schemas.openxmlformats.org/officeDocument/2006/relationships" ref="J22" r:id="rId13"/>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2026-10-27T04:03:22Z</dcterms:created>
  <dcterms:modified xsi:type="dcterms:W3CDTF">2026-10-27T04:03:22Z</dcterms:modified>
</cp:coreProperties>
</file>