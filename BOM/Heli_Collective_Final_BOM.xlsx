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BOM" sheetId="1" state="visible" r:id="rId1"/>
    <sheet name="Digi-Key order" sheetId="2" state="visible" r:id="rId2"/>
    <sheet name="Printed parts" sheetId="3" state="visible" r:id="rId3"/>
    <sheet name="Dropped" sheetId="4" state="visible" r:id="rId4"/>
    <sheet name="Sources" sheetId="5" state="visible" r:id="rId5"/>
  </sheets>
  <definedNames>
    <definedName name="_xlnm.Print_Titles" localSheetId="0">'Final BOM'!$5:$5</definedName>
  </definedNames>
  <calcPr calcId="124519" fullCalcOnLoad="1"/>
</workbook>
</file>

<file path=xl/styles.xml><?xml version="1.0" encoding="utf-8"?>
<styleSheet xmlns="http://schemas.openxmlformats.org/spreadsheetml/2006/main">
  <numFmts count="1">
    <numFmt numFmtId="164" formatCode="&quot;$&quot;#,##0.00;-&quot;$&quot;#,##0.00;&quot;-&quot;"/>
  </numFmts>
  <fonts count="9">
    <font>
      <name val="Calibri"/>
      <family val="2"/>
      <color theme="1"/>
      <sz val="11"/>
      <scheme val="minor"/>
    </font>
    <font>
      <name val="Arial"/>
      <b val="1"/>
      <sz val="14"/>
    </font>
    <font>
      <name val="Arial"/>
      <i val="1"/>
      <color rgb="00595959"/>
      <sz val="10"/>
    </font>
    <font>
      <name val="Arial"/>
      <b val="1"/>
      <sz val="10"/>
    </font>
    <font>
      <name val="Arial"/>
      <b val="1"/>
      <color rgb="000000FF"/>
      <sz val="10"/>
    </font>
    <font>
      <name val="Arial"/>
      <b val="1"/>
      <color rgb="00FFFFFF"/>
      <sz val="10"/>
    </font>
    <font>
      <name val="Arial"/>
      <sz val="10"/>
    </font>
    <font>
      <name val="Arial"/>
      <color rgb="000000FF"/>
      <sz val="10"/>
    </font>
    <font>
      <name val="Arial"/>
      <color rgb="000563C1"/>
      <sz val="10"/>
      <u val="single"/>
    </font>
  </fonts>
  <fills count="9">
    <fill>
      <patternFill/>
    </fill>
    <fill>
      <patternFill patternType="gray125"/>
    </fill>
    <fill>
      <patternFill patternType="solid">
        <fgColor rgb="00FFFF00"/>
      </patternFill>
    </fill>
    <fill>
      <patternFill patternType="solid">
        <fgColor rgb="001F3864"/>
      </patternFill>
    </fill>
    <fill>
      <patternFill patternType="solid">
        <fgColor rgb="00D9E1F2"/>
      </patternFill>
    </fill>
    <fill>
      <patternFill patternType="solid">
        <fgColor rgb="00DDEBF7"/>
      </patternFill>
    </fill>
    <fill>
      <patternFill patternType="solid">
        <fgColor rgb="00FCE4D6"/>
      </patternFill>
    </fill>
    <fill>
      <patternFill patternType="solid">
        <fgColor rgb="00E2EFDA"/>
      </patternFill>
    </fill>
    <fill>
      <patternFill patternType="solid">
        <fgColor rgb="00FFFF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top"/>
    </xf>
    <xf numFmtId="0" fontId="2" fillId="0" borderId="0" pivotButton="0" quotePrefix="0" xfId="0"/>
    <xf numFmtId="0" fontId="5" fillId="3" borderId="1" applyAlignment="1" pivotButton="0" quotePrefix="0" xfId="0">
      <alignment vertical="center" wrapText="1"/>
    </xf>
    <xf numFmtId="0" fontId="3" fillId="4" borderId="1" pivotButton="0" quotePrefix="0" xfId="0"/>
    <xf numFmtId="0" fontId="0" fillId="0" borderId="4" pivotButton="0" quotePrefix="0" xfId="0"/>
    <xf numFmtId="0" fontId="0" fillId="0" borderId="5" pivotButton="0" quotePrefix="0" xfId="0"/>
    <xf numFmtId="0" fontId="6" fillId="5" borderId="1" applyAlignment="1" pivotButton="0" quotePrefix="0" xfId="0">
      <alignment horizontal="center" vertical="top"/>
    </xf>
    <xf numFmtId="0" fontId="6" fillId="5" borderId="1" applyAlignment="1" pivotButton="0" quotePrefix="0" xfId="0">
      <alignment vertical="top" wrapText="1"/>
    </xf>
    <xf numFmtId="0" fontId="7" fillId="5" borderId="1" applyAlignment="1" pivotButton="0" quotePrefix="0" xfId="0">
      <alignment horizontal="center" vertical="top"/>
    </xf>
    <xf numFmtId="0" fontId="8" fillId="5" borderId="1" applyAlignment="1" pivotButton="0" quotePrefix="0" xfId="0">
      <alignment vertical="top" wrapText="1"/>
    </xf>
    <xf numFmtId="164" fontId="6" fillId="5" borderId="1" applyAlignment="1" pivotButton="0" quotePrefix="0" xfId="0">
      <alignment vertical="top" wrapText="1"/>
    </xf>
    <xf numFmtId="164" fontId="3" fillId="0" borderId="0" pivotButton="0" quotePrefix="0" xfId="0"/>
    <xf numFmtId="0" fontId="6" fillId="6" borderId="1" applyAlignment="1" pivotButton="0" quotePrefix="0" xfId="0">
      <alignment horizontal="center" vertical="top"/>
    </xf>
    <xf numFmtId="0" fontId="6" fillId="6" borderId="1" applyAlignment="1" pivotButton="0" quotePrefix="0" xfId="0">
      <alignment vertical="top" wrapText="1"/>
    </xf>
    <xf numFmtId="0" fontId="7" fillId="6" borderId="1" applyAlignment="1" pivotButton="0" quotePrefix="0" xfId="0">
      <alignment horizontal="center" vertical="top"/>
    </xf>
    <xf numFmtId="0" fontId="8" fillId="6" borderId="1" applyAlignment="1" pivotButton="0" quotePrefix="0" xfId="0">
      <alignment vertical="top" wrapText="1"/>
    </xf>
    <xf numFmtId="164" fontId="6" fillId="6" borderId="1" applyAlignment="1" pivotButton="0" quotePrefix="0" xfId="0">
      <alignment vertical="top" wrapText="1"/>
    </xf>
    <xf numFmtId="0" fontId="6" fillId="7" borderId="1" applyAlignment="1" pivotButton="0" quotePrefix="0" xfId="0">
      <alignment horizontal="center" vertical="top"/>
    </xf>
    <xf numFmtId="0" fontId="6" fillId="7" borderId="1" applyAlignment="1" pivotButton="0" quotePrefix="0" xfId="0">
      <alignment vertical="top" wrapText="1"/>
    </xf>
    <xf numFmtId="0" fontId="7" fillId="7" borderId="1" applyAlignment="1" pivotButton="0" quotePrefix="0" xfId="0">
      <alignment horizontal="center" vertical="top"/>
    </xf>
    <xf numFmtId="0" fontId="8" fillId="7" borderId="1" applyAlignment="1" pivotButton="0" quotePrefix="0" xfId="0">
      <alignment vertical="top" wrapText="1"/>
    </xf>
    <xf numFmtId="164" fontId="6" fillId="7" borderId="1" applyAlignment="1" pivotButton="0" quotePrefix="0" xfId="0">
      <alignment vertical="top" wrapText="1"/>
    </xf>
    <xf numFmtId="0" fontId="6" fillId="0" borderId="1" applyAlignment="1" pivotButton="0" quotePrefix="0" xfId="0">
      <alignment horizontal="center" vertical="top"/>
    </xf>
    <xf numFmtId="0" fontId="6" fillId="0" borderId="1" applyAlignment="1" pivotButton="0" quotePrefix="0" xfId="0">
      <alignment vertical="top" wrapText="1"/>
    </xf>
    <xf numFmtId="0" fontId="7" fillId="8" borderId="1" applyAlignment="1" pivotButton="0" quotePrefix="0" xfId="0">
      <alignment horizontal="center" vertical="top"/>
    </xf>
    <xf numFmtId="0" fontId="8"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ikey.com/en/products/result?keywords=296-8250-1-ND" TargetMode="External" Id="rId1" /><Relationship Type="http://schemas.openxmlformats.org/officeDocument/2006/relationships/hyperlink" Target="https://www.digikey.com/en/products/result?keywords=4609X-101-103LF-ND" TargetMode="External" Id="rId2" /><Relationship Type="http://schemas.openxmlformats.org/officeDocument/2006/relationships/hyperlink" Target="https://www.digikey.com/en/products/result?keywords=1276-1017-1-ND" TargetMode="External" Id="rId3" /><Relationship Type="http://schemas.openxmlformats.org/officeDocument/2006/relationships/hyperlink" Target="https://www.digikey.com/en/products/result?keywords=1276-1287-1-ND" TargetMode="External" Id="rId4" /><Relationship Type="http://schemas.openxmlformats.org/officeDocument/2006/relationships/hyperlink" Target="https://www.digikey.com/en/products/result?keywords=311-1.00KCRCT-ND" TargetMode="External" Id="rId5" /><Relationship Type="http://schemas.openxmlformats.org/officeDocument/2006/relationships/hyperlink" Target="https://www.digikey.com/en/products/result?keywords=EG4344CT-ND" TargetMode="External" Id="rId6" /><Relationship Type="http://schemas.openxmlformats.org/officeDocument/2006/relationships/hyperlink" Target="https://www.digikey.com/en/products/result?keywords=455-BM10B-SRSS-TBTCT-ND" TargetMode="External" Id="rId7" /><Relationship Type="http://schemas.openxmlformats.org/officeDocument/2006/relationships/hyperlink" Target="https://www.digikey.com/en/products/result?keywords=455-BM03B-SRSS-TBTCT-ND" TargetMode="External" Id="rId8" /><Relationship Type="http://schemas.openxmlformats.org/officeDocument/2006/relationships/hyperlink" Target="https://www.digikey.com/en/products/result?keywords=S6100-ND" TargetMode="External" Id="rId9" /><Relationship Type="http://schemas.openxmlformats.org/officeDocument/2006/relationships/hyperlink" Target="https://oshpark.com/" TargetMode="External" Id="rId10" /><Relationship Type="http://schemas.openxmlformats.org/officeDocument/2006/relationships/hyperlink" Target="https://www.amazon.com/dp/B0B81FGBLY" TargetMode="External" Id="rId11" /><Relationship Type="http://schemas.openxmlformats.org/officeDocument/2006/relationships/hyperlink" Target="https://www.digikey.com/en/products/result?keywords=455-3671-ND" TargetMode="External" Id="rId12" /><Relationship Type="http://schemas.openxmlformats.org/officeDocument/2006/relationships/hyperlink" Target="https://www.digikey.com/en/products/result?keywords=455-3627-ND" TargetMode="External" Id="rId13" /><Relationship Type="http://schemas.openxmlformats.org/officeDocument/2006/relationships/hyperlink" Target="https://www.digikey.com/en/products/result?keywords=839-30-01653-DS-ND" TargetMode="External" Id="rId14" /><Relationship Type="http://schemas.openxmlformats.org/officeDocument/2006/relationships/hyperlink" Target="https://www.digikey.com/en/products/result?keywords=380-SC-2CAK020M-ND" TargetMode="External" Id="rId15" /><Relationship Type="http://schemas.openxmlformats.org/officeDocument/2006/relationships/hyperlink" Target="https://www.amazon.com/dp/B0CM3C8KFT" TargetMode="External" Id="rId16" /><Relationship Type="http://schemas.openxmlformats.org/officeDocument/2006/relationships/hyperlink" Target="https://www.digikey.com/en/products/result?keywords=679-1223-ND" TargetMode="External" Id="rId17" /><Relationship Type="http://schemas.openxmlformats.org/officeDocument/2006/relationships/hyperlink" Target="https://www.digikey.com/en/products/result?keywords=679-1219-ND" TargetMode="External" Id="rId18" /><Relationship Type="http://schemas.openxmlformats.org/officeDocument/2006/relationships/hyperlink" Target="https://www.digikey.com/en/products/result?keywords=679-1217-ND" TargetMode="External" Id="rId19" /><Relationship Type="http://schemas.openxmlformats.org/officeDocument/2006/relationships/hyperlink" Target="https://www.digikey.com/en/products/result?keywords=2223-PB4-M-BK-D-67-ND" TargetMode="External" Id="rId20" /><Relationship Type="http://schemas.openxmlformats.org/officeDocument/2006/relationships/hyperlink" Target="https://www.digikey.com/en/products/result?keywords=450-1650-ND" TargetMode="External" Id="rId21" /><Relationship Type="http://schemas.openxmlformats.org/officeDocument/2006/relationships/hyperlink" Target="https://www.amazon.com/dp/B0DG33R714" TargetMode="External" Id="rId22" /><Relationship Type="http://schemas.openxmlformats.org/officeDocument/2006/relationships/hyperlink" Target="https://www.amazon.com/dp/B0FMD5TMSH" TargetMode="External" Id="rId23" /><Relationship Type="http://schemas.openxmlformats.org/officeDocument/2006/relationships/hyperlink" Target="https://www.amazon.com/dp/B0BWWBTL4N" TargetMode="External" Id="rId24" /><Relationship Type="http://schemas.openxmlformats.org/officeDocument/2006/relationships/hyperlink" Target="https://www.amazon.com/dp/B0BYXS4BTF" TargetMode="External" Id="rId25" /><Relationship Type="http://schemas.openxmlformats.org/officeDocument/2006/relationships/hyperlink" Target="https://www.amazon.com/dp/B0DG33R714" TargetMode="External" Id="rId26" /><Relationship Type="http://schemas.openxmlformats.org/officeDocument/2006/relationships/hyperlink" Target="https://www.amazon.com/dp/B0FMD5TMSH" TargetMode="External" Id="rId27" /><Relationship Type="http://schemas.openxmlformats.org/officeDocument/2006/relationships/hyperlink" Target="https://www.amazon.com/dp/B0FMD5TMSH" TargetMode="External" Id="rId28" /><Relationship Type="http://schemas.openxmlformats.org/officeDocument/2006/relationships/hyperlink" Target="https://www.digikey.com/en/products/result?keywords=SRS-4-4MM-ND" TargetMode="External" Id="rId29" /><Relationship Type="http://schemas.openxmlformats.org/officeDocument/2006/relationships/hyperlink" Target="https://www.amazon.com/dp/B0GCZGNBYH" TargetMode="External" Id="rId30" /><Relationship Type="http://schemas.openxmlformats.org/officeDocument/2006/relationships/hyperlink" Target="https://www.amazon.com/dp/B0H6J3X6GL" TargetMode="External" Id="rId31" /><Relationship Type="http://schemas.openxmlformats.org/officeDocument/2006/relationships/hyperlink" Target="https://www.amazon.com/dp/B09XTV8XYK" TargetMode="External" Id="rId32" /><Relationship Type="http://schemas.openxmlformats.org/officeDocument/2006/relationships/hyperlink" Target="https://www.amazon.com/dp/B0CFFT1B31" TargetMode="External" Id="rId33" /><Relationship Type="http://schemas.openxmlformats.org/officeDocument/2006/relationships/hyperlink" Target="https://www.amazon.com/dp/B0FMD5TMSH" TargetMode="External" Id="rId34" /><Relationship Type="http://schemas.openxmlformats.org/officeDocument/2006/relationships/hyperlink" Target="https://www.amazon.com/dp/B0CY267GFY" TargetMode="External" Id="rId35" /><Relationship Type="http://schemas.openxmlformats.org/officeDocument/2006/relationships/hyperlink" Target="https://www.amazon.com/dp/B0FMD5TMSH" TargetMode="External" Id="rId36" /><Relationship Type="http://schemas.openxmlformats.org/officeDocument/2006/relationships/hyperlink" Target="https://www.amazon.com/dp/B0FMD5TMSH" TargetMode="External" Id="rId37" /><Relationship Type="http://schemas.openxmlformats.org/officeDocument/2006/relationships/hyperlink" Target="https://www.amazon.com/dp/B0FMD5TMSH" TargetMode="External" Id="rId38" /><Relationship Type="http://schemas.openxmlformats.org/officeDocument/2006/relationships/hyperlink" Target="https://www.amazon.com/dp/B0FMD5TMSH" TargetMode="External" Id="rId39" /><Relationship Type="http://schemas.openxmlformats.org/officeDocument/2006/relationships/hyperlink" Target="https://www.amazon.com/dp/B0FMD5TMSH" TargetMode="External" Id="rId40" /><Relationship Type="http://schemas.openxmlformats.org/officeDocument/2006/relationships/hyperlink" Target="https://www.amazon.com/dp/B0FMD5TMSH" TargetMode="External" Id="rId41" /><Relationship Type="http://schemas.openxmlformats.org/officeDocument/2006/relationships/hyperlink" Target="https://www.amazon.com/dp/B0DG33R714" TargetMode="External" Id="rId42" /><Relationship Type="http://schemas.openxmlformats.org/officeDocument/2006/relationships/hyperlink" Target="https://www.amazon.com/dp/B0FMD5TMSH" TargetMode="External" Id="rId43" /><Relationship Type="http://schemas.openxmlformats.org/officeDocument/2006/relationships/hyperlink" Target="https://www.amazon.com/dp/B0FMD5TMSH" TargetMode="External" Id="rId44" /><Relationship Type="http://schemas.openxmlformats.org/officeDocument/2006/relationships/hyperlink" Target="https://www.amazon.com/dp/B0FMD5TMSH" TargetMode="External" Id="rId45" /><Relationship Type="http://schemas.openxmlformats.org/officeDocument/2006/relationships/hyperlink" Target="https://www.amazon.com/dp/B0DG33R714" TargetMode="External" Id="rId46" /><Relationship Type="http://schemas.openxmlformats.org/officeDocument/2006/relationships/hyperlink" Target="https://www.amazon.com/dp/B000HBNV58" TargetMode="External" Id="rId47" /><Relationship Type="http://schemas.openxmlformats.org/officeDocument/2006/relationships/hyperlink" Target="https://www.amazon.com/dp/B000DZFUPC" TargetMode="External" Id="rId48" /><Relationship Type="http://schemas.openxmlformats.org/officeDocument/2006/relationships/hyperlink" Target="https://www.digikey.com/en/products/result?keywords=315-NC191LT10-ND" TargetMode="External" Id="rId49" /><Relationship Type="http://schemas.openxmlformats.org/officeDocument/2006/relationships/hyperlink" Target="https://www.digikey.com/en/products/result?keywords=1188-CHN-TWZ1MM-ND" TargetMode="External" Id="rId50" /></Relationships>
</file>

<file path=xl/worksheets/_rels/sheet2.xml.rels><Relationships xmlns="http://schemas.openxmlformats.org/package/2006/relationships"><Relationship Type="http://schemas.openxmlformats.org/officeDocument/2006/relationships/hyperlink" Target="https://www.digikey.com/en/products/result?keywords=296-8250-1-ND" TargetMode="External" Id="rId1" /><Relationship Type="http://schemas.openxmlformats.org/officeDocument/2006/relationships/hyperlink" Target="https://www.digikey.com/en/products/result?keywords=4609X-101-103LF-ND" TargetMode="External" Id="rId2" /><Relationship Type="http://schemas.openxmlformats.org/officeDocument/2006/relationships/hyperlink" Target="https://www.digikey.com/en/products/result?keywords=1276-1017-1-ND" TargetMode="External" Id="rId3" /><Relationship Type="http://schemas.openxmlformats.org/officeDocument/2006/relationships/hyperlink" Target="https://www.digikey.com/en/products/result?keywords=1276-1287-1-ND" TargetMode="External" Id="rId4" /><Relationship Type="http://schemas.openxmlformats.org/officeDocument/2006/relationships/hyperlink" Target="https://www.digikey.com/en/products/result?keywords=311-1.00KCRCT-ND" TargetMode="External" Id="rId5" /><Relationship Type="http://schemas.openxmlformats.org/officeDocument/2006/relationships/hyperlink" Target="https://www.digikey.com/en/products/result?keywords=EG4344CT-ND" TargetMode="External" Id="rId6" /><Relationship Type="http://schemas.openxmlformats.org/officeDocument/2006/relationships/hyperlink" Target="https://www.digikey.com/en/products/result?keywords=455-BM10B-SRSS-TBTCT-ND" TargetMode="External" Id="rId7" /><Relationship Type="http://schemas.openxmlformats.org/officeDocument/2006/relationships/hyperlink" Target="https://www.digikey.com/en/products/result?keywords=455-BM03B-SRSS-TBTCT-ND" TargetMode="External" Id="rId8" /><Relationship Type="http://schemas.openxmlformats.org/officeDocument/2006/relationships/hyperlink" Target="https://www.digikey.com/en/products/result?keywords=S6100-ND" TargetMode="External" Id="rId9" /><Relationship Type="http://schemas.openxmlformats.org/officeDocument/2006/relationships/hyperlink" Target="https://www.digikey.com/en/products/result?keywords=455-3671-ND" TargetMode="External" Id="rId10" /><Relationship Type="http://schemas.openxmlformats.org/officeDocument/2006/relationships/hyperlink" Target="https://www.digikey.com/en/products/result?keywords=455-3627-ND" TargetMode="External" Id="rId11" /><Relationship Type="http://schemas.openxmlformats.org/officeDocument/2006/relationships/hyperlink" Target="https://www.digikey.com/en/products/result?keywords=839-30-01653-DS-ND" TargetMode="External" Id="rId12" /><Relationship Type="http://schemas.openxmlformats.org/officeDocument/2006/relationships/hyperlink" Target="https://www.digikey.com/en/products/result?keywords=380-SC-2CAK020M-ND" TargetMode="External" Id="rId13" /><Relationship Type="http://schemas.openxmlformats.org/officeDocument/2006/relationships/hyperlink" Target="https://www.digikey.com/en/products/result?keywords=679-1223-ND" TargetMode="External" Id="rId14" /><Relationship Type="http://schemas.openxmlformats.org/officeDocument/2006/relationships/hyperlink" Target="https://www.digikey.com/en/products/result?keywords=679-1219-ND" TargetMode="External" Id="rId15" /><Relationship Type="http://schemas.openxmlformats.org/officeDocument/2006/relationships/hyperlink" Target="https://www.digikey.com/en/products/result?keywords=679-1217-ND" TargetMode="External" Id="rId16" /><Relationship Type="http://schemas.openxmlformats.org/officeDocument/2006/relationships/hyperlink" Target="https://www.digikey.com/en/products/result?keywords=2223-PB4-M-BK-D-67-ND" TargetMode="External" Id="rId17" /><Relationship Type="http://schemas.openxmlformats.org/officeDocument/2006/relationships/hyperlink" Target="https://www.digikey.com/en/products/result?keywords=450-1650-ND" TargetMode="External" Id="rId18" /><Relationship Type="http://schemas.openxmlformats.org/officeDocument/2006/relationships/hyperlink" Target="https://www.digikey.com/en/products/result?keywords=SRS-4-4MM-ND" TargetMode="External" Id="rId19" /><Relationship Type="http://schemas.openxmlformats.org/officeDocument/2006/relationships/hyperlink" Target="https://www.digikey.com/en/products/result?keywords=315-NC191LT10-ND" TargetMode="External" Id="rId20" /><Relationship Type="http://schemas.openxmlformats.org/officeDocument/2006/relationships/hyperlink" Target="https://www.digikey.com/en/products/result?keywords=1188-CHN-TWZ1MM-ND" TargetMode="External" Id="rId21" /></Relationships>
</file>

<file path=xl/worksheets/sheet1.xml><?xml version="1.0" encoding="utf-8"?>
<worksheet xmlns="http://schemas.openxmlformats.org/spreadsheetml/2006/main">
  <sheetPr>
    <outlinePr summaryBelow="1" summaryRight="1"/>
    <pageSetUpPr fitToPage="1"/>
  </sheetPr>
  <dimension ref="A1:P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9" customWidth="1" min="3" max="3"/>
    <col width="6" customWidth="1" min="4" max="4"/>
    <col width="8" customWidth="1" min="5" max="5"/>
    <col width="8" customWidth="1" min="6" max="6"/>
    <col width="8" customWidth="1" min="7" max="7"/>
    <col width="36" customWidth="1" min="8" max="8"/>
    <col width="13" customWidth="1" min="9" max="9"/>
    <col width="16" customWidth="1" min="10" max="10"/>
    <col width="9" customWidth="1" min="11" max="11"/>
    <col width="21" customWidth="1" min="12" max="12"/>
    <col width="9" customWidth="1" min="13" max="13"/>
    <col width="10" customWidth="1" min="14" max="14"/>
    <col width="46" customWidth="1" min="15" max="15"/>
    <col width="28" customWidth="1" min="16" max="16"/>
  </cols>
  <sheetData>
    <row r="1">
      <c r="A1" s="1" t="inlineStr">
        <is>
          <t>Heli Collective - final BOM</t>
        </is>
      </c>
    </row>
    <row r="2" ht="58" customHeight="1">
      <c r="A2" s="2" t="inlineStr">
        <is>
          <t>Everything bought for one collective: the HeliSR Rev 3.0 board (the bare PCB is ordered from OSH Park; every part on it comes from Digi-Key), the Huey head and the MkIII base Rev 3 (a concept, not yet printed). Blue line: already ordered. Green: covered by a kit or pack priced on another line. Orange: size taken from the base's CAD, not from a parts list, so check before ordering. Prices are pack prices: Digi-Key cart (2026-10-23), Amazon listings (2026-10-22 and 2026-10-23) and the OSH Park order, before shipping and tariff. The Digi-Key order sheet lists the electronics to order from Digi-Key.</t>
        </is>
      </c>
    </row>
    <row r="3">
      <c r="A3" s="3" t="inlineStr">
        <is>
          <t>Collectives to build</t>
        </is>
      </c>
      <c r="C3" s="4" t="n">
        <v>1</v>
      </c>
      <c r="D3" s="5" t="inlineStr">
        <is>
          <t>Edit the yellow cells: collectives to build here, and Packs bought for anything you already have. Packs round up; lines marked once are one per order, however many you build.</t>
        </is>
      </c>
    </row>
    <row r="5" ht="30" customHeight="1">
      <c r="A5" s="6" t="inlineStr">
        <is>
          <t>#</t>
        </is>
      </c>
      <c r="B5" s="6" t="inlineStr">
        <is>
          <t>Where</t>
        </is>
      </c>
      <c r="C5" s="6" t="inlineStr">
        <is>
          <t>Qty per collective</t>
        </is>
      </c>
      <c r="D5" s="6" t="inlineStr">
        <is>
          <t>Pack</t>
        </is>
      </c>
      <c r="E5" s="6" t="inlineStr">
        <is>
          <t>Packs needed</t>
        </is>
      </c>
      <c r="F5" s="6" t="inlineStr">
        <is>
          <t>Packs bought</t>
        </is>
      </c>
      <c r="G5" s="6" t="inlineStr">
        <is>
          <t>Packs to order</t>
        </is>
      </c>
      <c r="H5" s="6" t="inlineStr">
        <is>
          <t>Description</t>
        </is>
      </c>
      <c r="I5" s="6" t="inlineStr">
        <is>
          <t>Manufacturer</t>
        </is>
      </c>
      <c r="J5" s="6" t="inlineStr">
        <is>
          <t>Mfr part number</t>
        </is>
      </c>
      <c r="K5" s="6" t="inlineStr">
        <is>
          <t>Supplier</t>
        </is>
      </c>
      <c r="L5" s="6" t="inlineStr">
        <is>
          <t>Supplier part number</t>
        </is>
      </c>
      <c r="M5" s="6" t="inlineStr">
        <is>
          <t>Pack price</t>
        </is>
      </c>
      <c r="N5" s="6" t="inlineStr">
        <is>
          <t>To spend</t>
        </is>
      </c>
      <c r="O5" s="6" t="inlineStr">
        <is>
          <t>Notes</t>
        </is>
      </c>
      <c r="P5" s="6" t="inlineStr">
        <is>
          <t>Source</t>
        </is>
      </c>
    </row>
    <row r="6">
      <c r="A6" s="7" t="inlineStr">
        <is>
          <t>HeliSR Rev 3.0: the parts you solder to the bare board (Digi-Key)</t>
        </is>
      </c>
      <c r="B6" s="8" t="n"/>
      <c r="C6" s="8" t="n"/>
      <c r="D6" s="8" t="n"/>
      <c r="E6" s="8" t="n"/>
      <c r="F6" s="8" t="n"/>
      <c r="G6" s="8" t="n"/>
      <c r="H6" s="8" t="n"/>
      <c r="I6" s="8" t="n"/>
      <c r="J6" s="8" t="n"/>
      <c r="K6" s="8" t="n"/>
      <c r="L6" s="8" t="n"/>
      <c r="M6" s="8" t="n"/>
      <c r="N6" s="8" t="n"/>
      <c r="O6" s="8" t="n"/>
      <c r="P6" s="9" t="n"/>
    </row>
    <row r="7">
      <c r="A7" s="10" t="n">
        <v>1</v>
      </c>
      <c r="B7" s="11" t="inlineStr">
        <is>
          <t>U1, U2</t>
        </is>
      </c>
      <c r="C7" s="10" t="n">
        <v>2</v>
      </c>
      <c r="D7" s="10" t="n">
        <v>1</v>
      </c>
      <c r="E7" s="10">
        <f>ROUNDUP(C7*$C$3/D7,0)</f>
        <v/>
      </c>
      <c r="F7" s="12" t="n">
        <v>2</v>
      </c>
      <c r="G7" s="10">
        <f>MAX(0,E7-F7)</f>
        <v/>
      </c>
      <c r="H7" s="11" t="inlineStr">
        <is>
          <t>Shift register, 74HC165, SOIC-16</t>
        </is>
      </c>
      <c r="I7" s="11" t="inlineStr">
        <is>
          <t>Texas Instruments</t>
        </is>
      </c>
      <c r="J7" s="11" t="inlineStr">
        <is>
          <t>SN74HC165DR</t>
        </is>
      </c>
      <c r="K7" s="11" t="inlineStr">
        <is>
          <t>Digi-Key</t>
        </is>
      </c>
      <c r="L7" s="13" t="inlineStr">
        <is>
          <t>296-8250-1-ND</t>
        </is>
      </c>
      <c r="M7" s="14" t="n">
        <v>0.5</v>
      </c>
      <c r="N7" s="14">
        <f>IF(M7="","",G7*M7)</f>
        <v/>
      </c>
      <c r="O7" s="11" t="inlineStr">
        <is>
          <t>Under the Pro Micro: fit before the sockets</t>
        </is>
      </c>
      <c r="P7" s="11" t="inlineStr">
        <is>
          <t>PCB/HeliSR_Rev3.0 board BOM (checked against the ordered board)</t>
        </is>
      </c>
    </row>
    <row r="8">
      <c r="A8" s="10" t="n">
        <v>2</v>
      </c>
      <c r="B8" s="11" t="inlineStr">
        <is>
          <t>RN1, RN2</t>
        </is>
      </c>
      <c r="C8" s="10" t="n">
        <v>2</v>
      </c>
      <c r="D8" s="10" t="n">
        <v>1</v>
      </c>
      <c r="E8" s="10">
        <f>ROUNDUP(C8*$C$3/D8,0)</f>
        <v/>
      </c>
      <c r="F8" s="12" t="n">
        <v>2</v>
      </c>
      <c r="G8" s="10">
        <f>MAX(0,E8-F8)</f>
        <v/>
      </c>
      <c r="H8" s="11" t="inlineStr">
        <is>
          <t>Resistor network, 8 x 10 kOhm bussed, SIP-9</t>
        </is>
      </c>
      <c r="I8" s="11" t="inlineStr">
        <is>
          <t>Bourns</t>
        </is>
      </c>
      <c r="J8" s="11" t="inlineStr">
        <is>
          <t>4609X-101-103LF</t>
        </is>
      </c>
      <c r="K8" s="11" t="inlineStr">
        <is>
          <t>Digi-Key</t>
        </is>
      </c>
      <c r="L8" s="13" t="inlineStr">
        <is>
          <t>4609X-101-103LF-ND</t>
        </is>
      </c>
      <c r="M8" s="14" t="n">
        <v>0.39</v>
      </c>
      <c r="N8" s="14">
        <f>IF(M8="","",G8*M8)</f>
        <v/>
      </c>
      <c r="O8" s="11" t="inlineStr">
        <is>
          <t>Pin 1 (dot) is the common pin: it goes in the square pad. Keep upright</t>
        </is>
      </c>
      <c r="P8" s="11" t="inlineStr">
        <is>
          <t>PCB/HeliSR_Rev3.0 board BOM (checked against the ordered board)</t>
        </is>
      </c>
    </row>
    <row r="9">
      <c r="A9" s="10" t="n">
        <v>3</v>
      </c>
      <c r="B9" s="11" t="inlineStr">
        <is>
          <t>C1, C2</t>
        </is>
      </c>
      <c r="C9" s="10" t="n">
        <v>2</v>
      </c>
      <c r="D9" s="10" t="n">
        <v>1</v>
      </c>
      <c r="E9" s="10">
        <f>ROUNDUP(C9*$C$3/D9,0)</f>
        <v/>
      </c>
      <c r="F9" s="12" t="n">
        <v>2</v>
      </c>
      <c r="G9" s="10">
        <f>MAX(0,E9-F9)</f>
        <v/>
      </c>
      <c r="H9" s="11" t="inlineStr">
        <is>
          <t>Capacitor, 100 nF, 50 V, X7R, 1206</t>
        </is>
      </c>
      <c r="I9" s="11" t="inlineStr">
        <is>
          <t>Samsung</t>
        </is>
      </c>
      <c r="J9" s="11" t="inlineStr">
        <is>
          <t>CL31B104KBCNNNC</t>
        </is>
      </c>
      <c r="K9" s="11" t="inlineStr">
        <is>
          <t>Digi-Key</t>
        </is>
      </c>
      <c r="L9" s="13" t="inlineStr">
        <is>
          <t>1276-1017-1-ND</t>
        </is>
      </c>
      <c r="M9" s="14" t="n">
        <v>0.14</v>
      </c>
      <c r="N9" s="14">
        <f>IF(M9="","",G9*M9)</f>
        <v/>
      </c>
      <c r="O9" s="11" t="inlineStr">
        <is>
          <t>Decoupling: C1 beside U1's VCC pin, C2 beside U2's</t>
        </is>
      </c>
      <c r="P9" s="11" t="inlineStr">
        <is>
          <t>PCB/HeliSR_Rev3.0 board BOM (checked against the ordered board)</t>
        </is>
      </c>
    </row>
    <row r="10">
      <c r="A10" s="10" t="n">
        <v>4</v>
      </c>
      <c r="B10" s="11" t="inlineStr">
        <is>
          <t>C3</t>
        </is>
      </c>
      <c r="C10" s="10" t="n">
        <v>1</v>
      </c>
      <c r="D10" s="10" t="n">
        <v>1</v>
      </c>
      <c r="E10" s="10">
        <f>ROUNDUP(C10*$C$3/D10,0)</f>
        <v/>
      </c>
      <c r="F10" s="12" t="n">
        <v>1</v>
      </c>
      <c r="G10" s="10">
        <f>MAX(0,E10-F10)</f>
        <v/>
      </c>
      <c r="H10" s="11" t="inlineStr">
        <is>
          <t>Capacitor, 22 uF, 10 V, X5R, 1206</t>
        </is>
      </c>
      <c r="I10" s="11" t="inlineStr">
        <is>
          <t>Samsung</t>
        </is>
      </c>
      <c r="J10" s="11" t="inlineStr">
        <is>
          <t>CL31A226KPHNNNE</t>
        </is>
      </c>
      <c r="K10" s="11" t="inlineStr">
        <is>
          <t>Digi-Key</t>
        </is>
      </c>
      <c r="L10" s="13" t="inlineStr">
        <is>
          <t>1276-1287-1-ND</t>
        </is>
      </c>
      <c r="M10" s="14" t="n">
        <v>0.47</v>
      </c>
      <c r="N10" s="14">
        <f>IF(M10="","",G10*M10)</f>
        <v/>
      </c>
      <c r="O10" s="11" t="inlineStr">
        <is>
          <t>Bulk supply capacitor, between U1 and U2</t>
        </is>
      </c>
      <c r="P10" s="11" t="inlineStr">
        <is>
          <t>PCB/HeliSR_Rev3.0 board BOM (checked against the ordered board)</t>
        </is>
      </c>
    </row>
    <row r="11">
      <c r="A11" s="10" t="n">
        <v>5</v>
      </c>
      <c r="B11" s="11" t="inlineStr">
        <is>
          <t>R1, R2</t>
        </is>
      </c>
      <c r="C11" s="10" t="n">
        <v>2</v>
      </c>
      <c r="D11" s="10" t="n">
        <v>1</v>
      </c>
      <c r="E11" s="10">
        <f>ROUNDUP(C11*$C$3/D11,0)</f>
        <v/>
      </c>
      <c r="F11" s="12" t="n">
        <v>2</v>
      </c>
      <c r="G11" s="10">
        <f>MAX(0,E11-F11)</f>
        <v/>
      </c>
      <c r="H11" s="11" t="inlineStr">
        <is>
          <t>Resistor, 1 kOhm, 1 %, 1/8 W, 0805</t>
        </is>
      </c>
      <c r="I11" s="11" t="inlineStr">
        <is>
          <t>YAGEO</t>
        </is>
      </c>
      <c r="J11" s="11" t="inlineStr">
        <is>
          <t>RC0805FR-071KL</t>
        </is>
      </c>
      <c r="K11" s="11" t="inlineStr">
        <is>
          <t>Digi-Key</t>
        </is>
      </c>
      <c r="L11" s="13" t="inlineStr">
        <is>
          <t>311-1.00KCRCT-ND</t>
        </is>
      </c>
      <c r="M11" s="14" t="n">
        <v>0.1</v>
      </c>
      <c r="N11" s="14">
        <f>IF(M11="","",G11*M11)</f>
        <v/>
      </c>
      <c r="O11" s="11" t="inlineStr">
        <is>
          <t>In series with PROG1 (R1) and PROG4 (R2)</t>
        </is>
      </c>
      <c r="P11" s="11" t="inlineStr">
        <is>
          <t>PCB/HeliSR_Rev3.0 board BOM (checked against the ordered board)</t>
        </is>
      </c>
    </row>
    <row r="12">
      <c r="A12" s="10" t="n">
        <v>6</v>
      </c>
      <c r="B12" s="11" t="inlineStr">
        <is>
          <t>SW1-SW3</t>
        </is>
      </c>
      <c r="C12" s="10" t="n">
        <v>3</v>
      </c>
      <c r="D12" s="10" t="n">
        <v>1</v>
      </c>
      <c r="E12" s="10">
        <f>ROUNDUP(C12*$C$3/D12,0)</f>
        <v/>
      </c>
      <c r="F12" s="12" t="n">
        <v>3</v>
      </c>
      <c r="G12" s="10">
        <f>MAX(0,E12-F12)</f>
        <v/>
      </c>
      <c r="H12" s="11" t="inlineStr">
        <is>
          <t>Tactile switch, SMD, 3.9 x 2.9 mm, gull wing</t>
        </is>
      </c>
      <c r="I12" s="11" t="inlineStr">
        <is>
          <t>E-Switch</t>
        </is>
      </c>
      <c r="J12" s="11" t="inlineStr">
        <is>
          <t>TL1015AF160QG</t>
        </is>
      </c>
      <c r="K12" s="11" t="inlineStr">
        <is>
          <t>Digi-Key</t>
        </is>
      </c>
      <c r="L12" s="13" t="inlineStr">
        <is>
          <t>EG4344CT-ND</t>
        </is>
      </c>
      <c r="M12" s="14" t="n">
        <v>0.48</v>
      </c>
      <c r="N12" s="14">
        <f>IF(M12="","",G12*M12)</f>
        <v/>
      </c>
      <c r="O12" s="11" t="inlineStr">
        <is>
          <t>SW1 RST, SW2 PROG1 (AX1), SW3 PROG4 (AX4). The four ground tabs are left unsoldered</t>
        </is>
      </c>
      <c r="P12" s="11" t="inlineStr">
        <is>
          <t>PCB/HeliSR_Rev3.0 board BOM (checked against the ordered board)</t>
        </is>
      </c>
    </row>
    <row r="13">
      <c r="A13" s="10" t="n">
        <v>7</v>
      </c>
      <c r="B13" s="11" t="inlineStr">
        <is>
          <t>J1, J2</t>
        </is>
      </c>
      <c r="C13" s="10" t="n">
        <v>2</v>
      </c>
      <c r="D13" s="10" t="n">
        <v>1</v>
      </c>
      <c r="E13" s="10">
        <f>ROUNDUP(C13*$C$3/D13,0)</f>
        <v/>
      </c>
      <c r="F13" s="12" t="n">
        <v>2</v>
      </c>
      <c r="G13" s="10">
        <f>MAX(0,E13-F13)</f>
        <v/>
      </c>
      <c r="H13" s="11" t="inlineStr">
        <is>
          <t>JST SR/SH header, 10-pin, 1.0 mm, SMD, top entry</t>
        </is>
      </c>
      <c r="I13" s="11" t="inlineStr">
        <is>
          <t>JST</t>
        </is>
      </c>
      <c r="J13" s="11" t="inlineStr">
        <is>
          <t>BM10B-SRSS-TBT</t>
        </is>
      </c>
      <c r="K13" s="11" t="inlineStr">
        <is>
          <t>Digi-Key</t>
        </is>
      </c>
      <c r="L13" s="13" t="inlineStr">
        <is>
          <t>455-BM10B-SRSS-TBTCT-ND</t>
        </is>
      </c>
      <c r="M13" s="14" t="n">
        <v>1.19</v>
      </c>
      <c r="N13" s="14">
        <f>IF(M13="","",G13*M13)</f>
        <v/>
      </c>
      <c r="O13" s="11" t="inlineStr">
        <is>
          <t>Switch inputs: J1 IN1-IN8, J2 IN9-IN16. Digi-Key estimates $0.33 tariff each on top</t>
        </is>
      </c>
      <c r="P13" s="11" t="inlineStr">
        <is>
          <t>PCB/HeliSR_Rev3.0 board BOM (checked against the ordered board)</t>
        </is>
      </c>
    </row>
    <row r="14">
      <c r="A14" s="10" t="n">
        <v>8</v>
      </c>
      <c r="B14" s="11" t="inlineStr">
        <is>
          <t>J11-J14</t>
        </is>
      </c>
      <c r="C14" s="10" t="n">
        <v>4</v>
      </c>
      <c r="D14" s="10" t="n">
        <v>1</v>
      </c>
      <c r="E14" s="10">
        <f>ROUNDUP(C14*$C$3/D14,0)</f>
        <v/>
      </c>
      <c r="F14" s="12" t="n">
        <v>4</v>
      </c>
      <c r="G14" s="10">
        <f>MAX(0,E14-F14)</f>
        <v/>
      </c>
      <c r="H14" s="11" t="inlineStr">
        <is>
          <t>JST SR/SH header, 3-pin, 1.0 mm, SMD, top entry</t>
        </is>
      </c>
      <c r="I14" s="11" t="inlineStr">
        <is>
          <t>JST</t>
        </is>
      </c>
      <c r="J14" s="11" t="inlineStr">
        <is>
          <t>BM03B-SRSS-TBT</t>
        </is>
      </c>
      <c r="K14" s="11" t="inlineStr">
        <is>
          <t>Digi-Key</t>
        </is>
      </c>
      <c r="L14" s="13" t="inlineStr">
        <is>
          <t>455-BM03B-SRSS-TBTCT-ND</t>
        </is>
      </c>
      <c r="M14" s="14" t="n">
        <v>0.68</v>
      </c>
      <c r="N14" s="14">
        <f>IF(M14="","",G14*M14)</f>
        <v/>
      </c>
      <c r="O14" s="11" t="inlineStr">
        <is>
          <t>Analog inputs AX1-AX4 (J11-J14). Digi-Key estimates $0.26 tariff each on top. Fit all four, or only the inputs you use</t>
        </is>
      </c>
      <c r="P14" s="11" t="inlineStr">
        <is>
          <t>PCB/HeliSR_Rev3.0 board BOM (checked against the ordered board)</t>
        </is>
      </c>
    </row>
    <row r="15">
      <c r="A15" s="10" t="n">
        <v>9</v>
      </c>
      <c r="B15" s="11" t="inlineStr">
        <is>
          <t>J7, J8</t>
        </is>
      </c>
      <c r="C15" s="10" t="n">
        <v>2</v>
      </c>
      <c r="D15" s="10" t="n">
        <v>1</v>
      </c>
      <c r="E15" s="10">
        <f>ROUNDUP(C15*$C$3/D15,0)</f>
        <v/>
      </c>
      <c r="F15" s="12" t="n">
        <v>2</v>
      </c>
      <c r="G15" s="10">
        <f>MAX(0,E15-F15)</f>
        <v/>
      </c>
      <c r="H15" s="11" t="inlineStr">
        <is>
          <t>Socket header, female, 1x12, 2.54 mm, through hole</t>
        </is>
      </c>
      <c r="I15" s="11" t="inlineStr">
        <is>
          <t>Sullins</t>
        </is>
      </c>
      <c r="J15" s="11" t="inlineStr">
        <is>
          <t>PPTC121LFBN-RC</t>
        </is>
      </c>
      <c r="K15" s="11" t="inlineStr">
        <is>
          <t>Digi-Key</t>
        </is>
      </c>
      <c r="L15" s="13" t="inlineStr">
        <is>
          <t>S6100-ND</t>
        </is>
      </c>
      <c r="M15" s="14" t="n">
        <v>0.75</v>
      </c>
      <c r="N15" s="14">
        <f>IF(M15="","",G15*M15)</f>
        <v/>
      </c>
      <c r="O15" s="11" t="inlineStr">
        <is>
          <t>Pro Micro sockets. Fit last</t>
        </is>
      </c>
      <c r="P15" s="11" t="inlineStr">
        <is>
          <t>PCB/HeliSR_Rev3.0 board BOM (checked against the ordered board)</t>
        </is>
      </c>
    </row>
    <row r="16">
      <c r="M16" s="3" t="inlineStr">
        <is>
          <t>Subtotal</t>
        </is>
      </c>
      <c r="N16" s="15">
        <f>SUM(N7:N15)</f>
        <v/>
      </c>
    </row>
    <row r="17">
      <c r="A17" s="7" t="inlineStr">
        <is>
          <t>HeliSR Rev 3.0: bare PCB and controller</t>
        </is>
      </c>
      <c r="B17" s="8" t="n"/>
      <c r="C17" s="8" t="n"/>
      <c r="D17" s="8" t="n"/>
      <c r="E17" s="8" t="n"/>
      <c r="F17" s="8" t="n"/>
      <c r="G17" s="8" t="n"/>
      <c r="H17" s="8" t="n"/>
      <c r="I17" s="8" t="n"/>
      <c r="J17" s="8" t="n"/>
      <c r="K17" s="8" t="n"/>
      <c r="L17" s="8" t="n"/>
      <c r="M17" s="8" t="n"/>
      <c r="N17" s="8" t="n"/>
      <c r="O17" s="8" t="n"/>
      <c r="P17" s="9" t="n"/>
    </row>
    <row r="18">
      <c r="A18" s="10" t="n">
        <v>10</v>
      </c>
      <c r="B18" s="11" t="inlineStr">
        <is>
          <t>PCB</t>
        </is>
      </c>
      <c r="C18" s="10" t="n">
        <v>1</v>
      </c>
      <c r="D18" s="10" t="n">
        <v>3</v>
      </c>
      <c r="E18" s="10">
        <f>ROUNDUP(C18*$C$3/D18,0)</f>
        <v/>
      </c>
      <c r="F18" s="12" t="n">
        <v>1</v>
      </c>
      <c r="G18" s="10">
        <f>MAX(0,E18-F18)</f>
        <v/>
      </c>
      <c r="H18" s="11" t="inlineStr">
        <is>
          <t>HeliSR Rev 3.0 bare PCB (no parts fitted), 2 layers, 1.6 mm FR4, 39.3 x 33.64 mm</t>
        </is>
      </c>
      <c r="I18" s="11" t="inlineStr">
        <is>
          <t>OSH Park</t>
        </is>
      </c>
      <c r="J18" s="11" t="inlineStr"/>
      <c r="K18" s="11" t="inlineStr">
        <is>
          <t>OSH Park</t>
        </is>
      </c>
      <c r="L18" s="13" t="inlineStr"/>
      <c r="M18" s="14" t="n">
        <v>10.2</v>
      </c>
      <c r="N18" s="14">
        <f>IF(M18="","",G18*M18)</f>
        <v/>
      </c>
      <c r="O18" s="11" t="inlineStr">
        <is>
          <t>Ordered 2026-10-21: $10.20 for three bare boards, free shipping, due back about 2026-10-29</t>
        </is>
      </c>
      <c r="P18" s="11" t="inlineStr">
        <is>
          <t>OSH Park order confirmation</t>
        </is>
      </c>
    </row>
    <row r="19">
      <c r="A19" s="10" t="n">
        <v>11</v>
      </c>
      <c r="B19" s="11" t="inlineStr">
        <is>
          <t>J7, J8</t>
        </is>
      </c>
      <c r="C19" s="10" t="n">
        <v>1</v>
      </c>
      <c r="D19" s="10" t="n">
        <v>1</v>
      </c>
      <c r="E19" s="10">
        <f>ROUNDUP(C19*$C$3/D19,0)</f>
        <v/>
      </c>
      <c r="F19" s="12" t="n">
        <v>1</v>
      </c>
      <c r="G19" s="10">
        <f>MAX(0,E19-F19)</f>
        <v/>
      </c>
      <c r="H19" s="11" t="inlineStr">
        <is>
          <t>Pro Micro 5V/16 MHz (ATmega32U4), USB-C, with header pins</t>
        </is>
      </c>
      <c r="I19" s="11" t="inlineStr">
        <is>
          <t>OSOYOO</t>
        </is>
      </c>
      <c r="J19" s="11" t="inlineStr"/>
      <c r="K19" s="11" t="inlineStr">
        <is>
          <t>Amazon</t>
        </is>
      </c>
      <c r="L19" s="13" t="inlineStr">
        <is>
          <t>B0B81FGBLY</t>
        </is>
      </c>
      <c r="M19" s="14" t="n">
        <v>11.99</v>
      </c>
      <c r="N19" s="14">
        <f>IF(M19="","",G19*M19)</f>
        <v/>
      </c>
      <c r="O19" s="11" t="inlineStr">
        <is>
          <t>Runs MMJoy2; plugs into the J7/J8 sockets. Comes with three rows of header pins, so no separate headers. Also sold as 3 for $21.99. Check that its 2 x 12 pins line up with J7/J8 (15.24 mm between rows)</t>
        </is>
      </c>
      <c r="P19" s="11" t="inlineStr">
        <is>
          <t>Amazon listing on 2026-10-22 (link you sent)</t>
        </is>
      </c>
    </row>
    <row r="20">
      <c r="M20" s="3" t="inlineStr">
        <is>
          <t>Subtotal</t>
        </is>
      </c>
      <c r="N20" s="15">
        <f>SUM(N18:N19)</f>
        <v/>
      </c>
    </row>
    <row r="21">
      <c r="A21" s="7" t="inlineStr">
        <is>
          <t>Wiring</t>
        </is>
      </c>
      <c r="B21" s="8" t="n"/>
      <c r="C21" s="8" t="n"/>
      <c r="D21" s="8" t="n"/>
      <c r="E21" s="8" t="n"/>
      <c r="F21" s="8" t="n"/>
      <c r="G21" s="8" t="n"/>
      <c r="H21" s="8" t="n"/>
      <c r="I21" s="8" t="n"/>
      <c r="J21" s="8" t="n"/>
      <c r="K21" s="8" t="n"/>
      <c r="L21" s="8" t="n"/>
      <c r="M21" s="8" t="n"/>
      <c r="N21" s="8" t="n"/>
      <c r="O21" s="8" t="n"/>
      <c r="P21" s="9" t="n"/>
    </row>
    <row r="22">
      <c r="A22" s="10" t="n">
        <v>12</v>
      </c>
      <c r="B22" s="11" t="inlineStr">
        <is>
          <t>J1, J2</t>
        </is>
      </c>
      <c r="C22" s="10" t="n">
        <v>1</v>
      </c>
      <c r="D22" s="10" t="n">
        <v>1</v>
      </c>
      <c r="E22" s="10">
        <f>ROUNDUP(C22*$C$3/D22,0)</f>
        <v/>
      </c>
      <c r="F22" s="12" t="n">
        <v>1</v>
      </c>
      <c r="G22" s="10">
        <f>MAX(0,E22-F22)</f>
        <v/>
      </c>
      <c r="H22" s="11" t="inlineStr">
        <is>
          <t>JST SR jumper, 10-pin, 10 in, 30 AWG, pin 1 to pin 1</t>
        </is>
      </c>
      <c r="I22" s="11" t="inlineStr">
        <is>
          <t>JST</t>
        </is>
      </c>
      <c r="J22" s="11" t="inlineStr">
        <is>
          <t>A10SR10SR30K254A</t>
        </is>
      </c>
      <c r="K22" s="11" t="inlineStr">
        <is>
          <t>Digi-Key</t>
        </is>
      </c>
      <c r="L22" s="13" t="inlineStr">
        <is>
          <t>455-3671-ND</t>
        </is>
      </c>
      <c r="M22" s="14" t="n">
        <v>3.17</v>
      </c>
      <c r="N22" s="14">
        <f>IF(M22="","",G22*M22)</f>
        <v/>
      </c>
      <c r="O22" s="11" t="inlineStr">
        <is>
          <t>Switch loom. The jumper has a connector at each end: cut it in half for the two board-end pigtails (J1 and J2). Price from Digi-Key, 2026-10-22</t>
        </is>
      </c>
      <c r="P22" s="11" t="inlineStr">
        <is>
          <t>PCB/HeliSR_Rev3.0/HeliSR_Rev3.0_BOM.xlsx (Digi-Key cart)</t>
        </is>
      </c>
    </row>
    <row r="23">
      <c r="A23" s="10" t="n">
        <v>13</v>
      </c>
      <c r="B23" s="11" t="inlineStr">
        <is>
          <t>J11, J14</t>
        </is>
      </c>
      <c r="C23" s="10" t="n">
        <v>2</v>
      </c>
      <c r="D23" s="10" t="n">
        <v>1</v>
      </c>
      <c r="E23" s="10">
        <f>ROUNDUP(C23*$C$3/D23,0)</f>
        <v/>
      </c>
      <c r="F23" s="12" t="n">
        <v>2</v>
      </c>
      <c r="G23" s="10">
        <f>MAX(0,E23-F23)</f>
        <v/>
      </c>
      <c r="H23" s="11" t="inlineStr">
        <is>
          <t>JST SR jumper, 3-pin, 8 in, 30 AWG, pin 1 to pin 1</t>
        </is>
      </c>
      <c r="I23" s="11" t="inlineStr">
        <is>
          <t>JST</t>
        </is>
      </c>
      <c r="J23" s="11" t="inlineStr">
        <is>
          <t>A03SR03SR30K203A</t>
        </is>
      </c>
      <c r="K23" s="11" t="inlineStr">
        <is>
          <t>Digi-Key</t>
        </is>
      </c>
      <c r="L23" s="13" t="inlineStr">
        <is>
          <t>455-3627-ND</t>
        </is>
      </c>
      <c r="M23" s="14" t="n">
        <v>1.35</v>
      </c>
      <c r="N23" s="14">
        <f>IF(M23="","",G23*M23)</f>
        <v/>
      </c>
      <c r="O23" s="11" t="inlineStr">
        <is>
          <t>AX1 (collective sensor) and AX4 (throttle sensor); AX2 and AX3 are spare. Price from Digi-Key, 2026-10-22</t>
        </is>
      </c>
      <c r="P23" s="11" t="inlineStr">
        <is>
          <t>PCB/HeliSR_Rev3.0/HeliSR_Rev3.0_BOM.xlsx (Digi-Key cart)</t>
        </is>
      </c>
    </row>
    <row r="24">
      <c r="A24" s="16" t="n">
        <v>14</v>
      </c>
      <c r="B24" s="17" t="inlineStr">
        <is>
          <t>AX1 lead</t>
        </is>
      </c>
      <c r="C24" s="16" t="n">
        <v>1</v>
      </c>
      <c r="D24" s="16" t="n">
        <v>1</v>
      </c>
      <c r="E24" s="16">
        <f>ROUNDUP(C24*$C$3/D24,0)</f>
        <v/>
      </c>
      <c r="F24" s="18" t="n">
        <v>1</v>
      </c>
      <c r="G24" s="16">
        <f>MAX(0,E24-F24)</f>
        <v/>
      </c>
      <c r="H24" s="17" t="inlineStr">
        <is>
          <t>3-core cable, 28 AWG, black, 1 m (Digi-Key cut length)</t>
        </is>
      </c>
      <c r="I24" s="17" t="inlineStr">
        <is>
          <t>Tensility</t>
        </is>
      </c>
      <c r="J24" s="17" t="inlineStr">
        <is>
          <t>30-01653</t>
        </is>
      </c>
      <c r="K24" s="17" t="inlineStr">
        <is>
          <t>Digi-Key</t>
        </is>
      </c>
      <c r="L24" s="19" t="inlineStr">
        <is>
          <t>839-30-01653-DS-ND</t>
        </is>
      </c>
      <c r="M24" s="20" t="n">
        <v>2.28</v>
      </c>
      <c r="N24" s="20">
        <f>IF(M24="","",G24*M24)</f>
        <v/>
      </c>
      <c r="O24" s="17" t="inlineStr">
        <is>
          <t>CHECK: Collective sensor lead: from the AS5600 in the base, through the lever's cable channels and up the 470 mm tube, spliced to an AX1 pigtail. Length is an estimate: measure your run; Digi-Key sells it by the metre</t>
        </is>
      </c>
      <c r="P24" s="17" t="inlineStr">
        <is>
          <t>Digi-Key cart 2026-10-23; Base/README.md (the 3-core sensor lead)</t>
        </is>
      </c>
    </row>
    <row r="25">
      <c r="A25" s="10" t="n">
        <v>15</v>
      </c>
      <c r="B25" s="11" t="inlineStr">
        <is>
          <t>USB</t>
        </is>
      </c>
      <c r="C25" s="10" t="n">
        <v>1</v>
      </c>
      <c r="D25" s="10" t="n">
        <v>1</v>
      </c>
      <c r="E25" s="10">
        <f>ROUNDUP(C25*$C$3/D25,0)</f>
        <v/>
      </c>
      <c r="F25" s="12" t="n">
        <v>1</v>
      </c>
      <c r="G25" s="10">
        <f>MAX(0,E25-F25)</f>
        <v/>
      </c>
      <c r="H25" s="11" t="inlineStr">
        <is>
          <t>USB 2.0 cable, USB-A plug to USB-C plug, 2 m (6.56 ft)</t>
        </is>
      </c>
      <c r="I25" s="11" t="inlineStr">
        <is>
          <t>Stewart Connector</t>
        </is>
      </c>
      <c r="J25" s="11" t="inlineStr">
        <is>
          <t>SC-2CAK020M</t>
        </is>
      </c>
      <c r="K25" s="11" t="inlineStr">
        <is>
          <t>Digi-Key</t>
        </is>
      </c>
      <c r="L25" s="13" t="inlineStr">
        <is>
          <t>380-SC-2CAK020M-ND</t>
        </is>
      </c>
      <c r="M25" s="14" t="n">
        <v>7.33</v>
      </c>
      <c r="N25" s="14">
        <f>IF(M25="","",G25*M25)</f>
        <v/>
      </c>
      <c r="O25" s="11" t="inlineStr">
        <is>
          <t>Cut it about 15 cm from the USB-C plug. Feed the long piece (USB-A end stays at the PC) through the device: laid in the lever's open channels, up the tube and in through the head. The cable cover's spout is a plain 7.5 mm bore. Splice the USB-C stub back on inside the head (red, black, green, white) and leave the shield wire unconnected. The cut costs about 15 cm of the 2 m: check the run still reaches. The head's clearances were checked with a micro-USB plug: check the C plug fits the same way</t>
        </is>
      </c>
      <c r="P25" s="11" t="inlineStr">
        <is>
          <t>Digi-Key cart 2026-10-23; Head/Rev4/README.md; Base/README.md</t>
        </is>
      </c>
    </row>
    <row r="26">
      <c r="M26" s="3" t="inlineStr">
        <is>
          <t>Subtotal</t>
        </is>
      </c>
      <c r="N26" s="15">
        <f>SUM(N22:N25)</f>
        <v/>
      </c>
    </row>
    <row r="27">
      <c r="A27" s="7" t="inlineStr">
        <is>
          <t>Angle sensors</t>
        </is>
      </c>
      <c r="B27" s="8" t="n"/>
      <c r="C27" s="8" t="n"/>
      <c r="D27" s="8" t="n"/>
      <c r="E27" s="8" t="n"/>
      <c r="F27" s="8" t="n"/>
      <c r="G27" s="8" t="n"/>
      <c r="H27" s="8" t="n"/>
      <c r="I27" s="8" t="n"/>
      <c r="J27" s="8" t="n"/>
      <c r="K27" s="8" t="n"/>
      <c r="L27" s="8" t="n"/>
      <c r="M27" s="8" t="n"/>
      <c r="N27" s="8" t="n"/>
      <c r="O27" s="8" t="n"/>
      <c r="P27" s="9" t="n"/>
    </row>
    <row r="28">
      <c r="A28" s="10" t="n">
        <v>16</v>
      </c>
      <c r="B28" s="11" t="inlineStr">
        <is>
          <t>AX1, AX4</t>
        </is>
      </c>
      <c r="C28" s="10" t="n">
        <v>2</v>
      </c>
      <c r="D28" s="10" t="n">
        <v>4</v>
      </c>
      <c r="E28" s="10">
        <f>ROUNDUP(C28*$C$3/D28,0)</f>
        <v/>
      </c>
      <c r="F28" s="12" t="n">
        <v>1</v>
      </c>
      <c r="G28" s="10">
        <f>MAX(0,E28-F28)</f>
        <v/>
      </c>
      <c r="H28" s="11" t="inlineStr">
        <is>
          <t>AS5600 magnetic encoder module, 23 x 23 mm, with 5 x 2 mm diametric magnet</t>
        </is>
      </c>
      <c r="I28" s="11" t="inlineStr">
        <is>
          <t>WWZMDiB</t>
        </is>
      </c>
      <c r="J28" s="11" t="inlineStr"/>
      <c r="K28" s="11" t="inlineStr">
        <is>
          <t>Amazon</t>
        </is>
      </c>
      <c r="L28" s="13" t="inlineStr">
        <is>
          <t>B0CM3C8KFT</t>
        </is>
      </c>
      <c r="M28" s="14" t="n">
        <v>9.99</v>
      </c>
      <c r="N28" s="14">
        <f>IF(M28="","",G28*M28)</f>
        <v/>
      </c>
      <c r="O28" s="11" t="inlineStr">
        <is>
          <t>Sold in fours. AX1: the collective, in the base, programmed with PROG1, DIR to VCC. AX4: the throttle, in the head, programmed with PROG4, DIR to GND. On each: remove the 0 ohm R1, keep R4</t>
        </is>
      </c>
      <c r="P28" s="11" t="inlineStr">
        <is>
          <t>Amazon listing on 2026-10-22 (link you sent)</t>
        </is>
      </c>
    </row>
    <row r="29">
      <c r="M29" s="3" t="inlineStr">
        <is>
          <t>Subtotal</t>
        </is>
      </c>
      <c r="N29" s="15">
        <f>SUM(N28:N28)</f>
        <v/>
      </c>
    </row>
    <row r="30">
      <c r="A30" s="7" t="inlineStr">
        <is>
          <t>Huey head: switches</t>
        </is>
      </c>
      <c r="B30" s="8" t="n"/>
      <c r="C30" s="8" t="n"/>
      <c r="D30" s="8" t="n"/>
      <c r="E30" s="8" t="n"/>
      <c r="F30" s="8" t="n"/>
      <c r="G30" s="8" t="n"/>
      <c r="H30" s="8" t="n"/>
      <c r="I30" s="8" t="n"/>
      <c r="J30" s="8" t="n"/>
      <c r="K30" s="8" t="n"/>
      <c r="L30" s="8" t="n"/>
      <c r="M30" s="8" t="n"/>
      <c r="N30" s="8" t="n"/>
      <c r="O30" s="8" t="n"/>
      <c r="P30" s="9" t="n"/>
    </row>
    <row r="31">
      <c r="A31" s="10" t="n">
        <v>17</v>
      </c>
      <c r="B31" s="11" t="inlineStr">
        <is>
          <t>IN3-IN6</t>
        </is>
      </c>
      <c r="C31" s="10" t="n">
        <v>2</v>
      </c>
      <c r="D31" s="10" t="n">
        <v>1</v>
      </c>
      <c r="E31" s="10">
        <f>ROUNDUP(C31*$C$3/D31,0)</f>
        <v/>
      </c>
      <c r="F31" s="12" t="n">
        <v>2</v>
      </c>
      <c r="G31" s="10">
        <f>MAX(0,E31-F31)</f>
        <v/>
      </c>
      <c r="H31" s="11" t="inlineStr">
        <is>
          <t>Toggle switch, SPDT, ON-OFF-ON, M12 bushing, solder lug</t>
        </is>
      </c>
      <c r="I31" s="11" t="inlineStr">
        <is>
          <t>APEM</t>
        </is>
      </c>
      <c r="J31" s="11" t="inlineStr">
        <is>
          <t>639H/2</t>
        </is>
      </c>
      <c r="K31" s="11" t="inlineStr">
        <is>
          <t>Digi-Key</t>
        </is>
      </c>
      <c r="L31" s="13" t="inlineStr">
        <is>
          <t>679-1223-ND</t>
        </is>
      </c>
      <c r="M31" s="14" t="n">
        <v>8.470000000000001</v>
      </c>
      <c r="N31" s="14">
        <f>IF(M31="","",G31*M31)</f>
        <v/>
      </c>
      <c r="O31" s="11" t="inlineStr">
        <is>
          <t>LDG LT EXT / RETR and SL ON / STOW. Common to GND. Price from Digi-Key, 2026-10-22</t>
        </is>
      </c>
      <c r="P31" s="11" t="inlineStr">
        <is>
          <t>PCB/HeliSR_Rev3.0/HeliSR_Rev3.0_BOM.xlsx (Digi-Key cart)</t>
        </is>
      </c>
    </row>
    <row r="32">
      <c r="A32" s="10" t="n">
        <v>18</v>
      </c>
      <c r="B32" s="11" t="inlineStr">
        <is>
          <t>IN1, IN2</t>
        </is>
      </c>
      <c r="C32" s="10" t="n">
        <v>1</v>
      </c>
      <c r="D32" s="10" t="n">
        <v>1</v>
      </c>
      <c r="E32" s="10">
        <f>ROUNDUP(C32*$C$3/D32,0)</f>
        <v/>
      </c>
      <c r="F32" s="12" t="n">
        <v>1</v>
      </c>
      <c r="G32" s="10">
        <f>MAX(0,E32-F32)</f>
        <v/>
      </c>
      <c r="H32" s="11" t="inlineStr">
        <is>
          <t>Toggle switch, SPDT, (ON)-OFF-(ON), M12 bushing, solder lug</t>
        </is>
      </c>
      <c r="I32" s="11" t="inlineStr">
        <is>
          <t>APEM</t>
        </is>
      </c>
      <c r="J32" s="11" t="inlineStr">
        <is>
          <t>637H/2</t>
        </is>
      </c>
      <c r="K32" s="11" t="inlineStr">
        <is>
          <t>Digi-Key</t>
        </is>
      </c>
      <c r="L32" s="13" t="inlineStr">
        <is>
          <t>679-1219-ND</t>
        </is>
      </c>
      <c r="M32" s="14" t="n">
        <v>8.02</v>
      </c>
      <c r="N32" s="14">
        <f>IF(M32="","",G32*M32)</f>
        <v/>
      </c>
      <c r="O32" s="11" t="inlineStr">
        <is>
          <t>GOV RPM INCR / DECR. Price from Digi-Key, 2026-10-22</t>
        </is>
      </c>
      <c r="P32" s="11" t="inlineStr">
        <is>
          <t>PCB/HeliSR_Rev3.0/HeliSR_Rev3.0_BOM.xlsx (Digi-Key cart)</t>
        </is>
      </c>
    </row>
    <row r="33">
      <c r="A33" s="10" t="n">
        <v>19</v>
      </c>
      <c r="B33" s="11" t="inlineStr">
        <is>
          <t>IN7</t>
        </is>
      </c>
      <c r="C33" s="10" t="n">
        <v>1</v>
      </c>
      <c r="D33" s="10" t="n">
        <v>1</v>
      </c>
      <c r="E33" s="10">
        <f>ROUNDUP(C33*$C$3/D33,0)</f>
        <v/>
      </c>
      <c r="F33" s="12" t="n">
        <v>1</v>
      </c>
      <c r="G33" s="10">
        <f>MAX(0,E33-F33)</f>
        <v/>
      </c>
      <c r="H33" s="11" t="inlineStr">
        <is>
          <t>Toggle switch, SPDT, ON-ON, M12 bushing, solder lug</t>
        </is>
      </c>
      <c r="I33" s="11" t="inlineStr">
        <is>
          <t>APEM</t>
        </is>
      </c>
      <c r="J33" s="11" t="inlineStr">
        <is>
          <t>636H/2</t>
        </is>
      </c>
      <c r="K33" s="11" t="inlineStr">
        <is>
          <t>Digi-Key</t>
        </is>
      </c>
      <c r="L33" s="13" t="inlineStr">
        <is>
          <t>679-1217-ND</t>
        </is>
      </c>
      <c r="M33" s="14" t="n">
        <v>7.55</v>
      </c>
      <c r="N33" s="14">
        <f>IF(M33="","",G33*M33)</f>
        <v/>
      </c>
      <c r="O33" s="11" t="inlineStr">
        <is>
          <t>LDG LT ON (one side wired). Price from Digi-Key, 2026-10-22</t>
        </is>
      </c>
      <c r="P33" s="11" t="inlineStr">
        <is>
          <t>PCB/HeliSR_Rev3.0/HeliSR_Rev3.0_BOM.xlsx (Digi-Key cart)</t>
        </is>
      </c>
    </row>
    <row r="34">
      <c r="A34" s="10" t="n">
        <v>20</v>
      </c>
      <c r="B34" s="11" t="inlineStr">
        <is>
          <t>IN13</t>
        </is>
      </c>
      <c r="C34" s="10" t="n">
        <v>1</v>
      </c>
      <c r="D34" s="10" t="n">
        <v>1</v>
      </c>
      <c r="E34" s="10">
        <f>ROUNDUP(C34*$C$3/D34,0)</f>
        <v/>
      </c>
      <c r="F34" s="12" t="n">
        <v>1</v>
      </c>
      <c r="G34" s="10">
        <f>MAX(0,E34-F34)</f>
        <v/>
      </c>
      <c r="H34" s="11" t="inlineStr">
        <is>
          <t>Push button, large, SPST-NO momentary, M12</t>
        </is>
      </c>
      <c r="I34" s="11" t="inlineStr">
        <is>
          <t>Same Sky</t>
        </is>
      </c>
      <c r="J34" s="11" t="inlineStr">
        <is>
          <t>PB4-M-BK-D-67</t>
        </is>
      </c>
      <c r="K34" s="11" t="inlineStr">
        <is>
          <t>Digi-Key</t>
        </is>
      </c>
      <c r="L34" s="13" t="inlineStr">
        <is>
          <t>2223-PB4-M-BK-D-67-ND</t>
        </is>
      </c>
      <c r="M34" s="14" t="n">
        <v>2.52</v>
      </c>
      <c r="N34" s="14">
        <f>IF(M34="","",G34*M34)</f>
        <v/>
      </c>
      <c r="O34" s="11" t="inlineStr">
        <is>
          <t>STOP REL</t>
        </is>
      </c>
      <c r="P34" s="11" t="inlineStr">
        <is>
          <t>PCB/HeliSR_Rev3.0/HeliSR_Rev3.0_BOM.xlsx (Digi-Key cart)</t>
        </is>
      </c>
    </row>
    <row r="35">
      <c r="A35" s="10" t="n">
        <v>21</v>
      </c>
      <c r="B35" s="11" t="inlineStr">
        <is>
          <t>IN9-IN12, IN14</t>
        </is>
      </c>
      <c r="C35" s="10" t="n">
        <v>5</v>
      </c>
      <c r="D35" s="10" t="n">
        <v>1</v>
      </c>
      <c r="E35" s="10">
        <f>ROUNDUP(C35*$C$3/D35,0)</f>
        <v/>
      </c>
      <c r="F35" s="12" t="n">
        <v>5</v>
      </c>
      <c r="G35" s="10">
        <f>MAX(0,E35-F35)</f>
        <v/>
      </c>
      <c r="H35" s="11" t="inlineStr">
        <is>
          <t>Tactile switch, 6 x 6 mm, 5 mm high, THT</t>
        </is>
      </c>
      <c r="I35" s="11" t="inlineStr">
        <is>
          <t>TE Connectivity</t>
        </is>
      </c>
      <c r="J35" s="11" t="inlineStr">
        <is>
          <t>1825910-6</t>
        </is>
      </c>
      <c r="K35" s="11" t="inlineStr">
        <is>
          <t>Digi-Key</t>
        </is>
      </c>
      <c r="L35" s="13" t="inlineStr">
        <is>
          <t>450-1650-ND</t>
        </is>
      </c>
      <c r="M35" s="14" t="n">
        <v>0.13</v>
      </c>
      <c r="N35" s="14">
        <f>IF(M35="","",G35*M35)</f>
        <v/>
      </c>
      <c r="O35" s="11" t="inlineStr">
        <is>
          <t>SEARCH CONT hat (4) and starter trigger (1). IN8, IN15, IN16 are spare</t>
        </is>
      </c>
      <c r="P35" s="11" t="inlineStr">
        <is>
          <t>PCB/HeliSR_Rev3.0/HeliSR_Rev3.0_BOM.xlsx (Digi-Key cart)</t>
        </is>
      </c>
    </row>
    <row r="36">
      <c r="M36" s="3" t="inlineStr">
        <is>
          <t>Subtotal</t>
        </is>
      </c>
      <c r="N36" s="15">
        <f>SUM(N31:N35)</f>
        <v/>
      </c>
    </row>
    <row r="37">
      <c r="A37" s="7" t="inlineStr">
        <is>
          <t>Huey head: hardware</t>
        </is>
      </c>
      <c r="B37" s="8" t="n"/>
      <c r="C37" s="8" t="n"/>
      <c r="D37" s="8" t="n"/>
      <c r="E37" s="8" t="n"/>
      <c r="F37" s="8" t="n"/>
      <c r="G37" s="8" t="n"/>
      <c r="H37" s="8" t="n"/>
      <c r="I37" s="8" t="n"/>
      <c r="J37" s="8" t="n"/>
      <c r="K37" s="8" t="n"/>
      <c r="L37" s="8" t="n"/>
      <c r="M37" s="8" t="n"/>
      <c r="N37" s="8" t="n"/>
      <c r="O37" s="8" t="n"/>
      <c r="P37" s="9" t="n"/>
    </row>
    <row r="38">
      <c r="A38" s="21" t="n">
        <v>22</v>
      </c>
      <c r="B38" s="22" t="inlineStr">
        <is>
          <t>Tube boss</t>
        </is>
      </c>
      <c r="C38" s="21" t="n">
        <v>1</v>
      </c>
      <c r="D38" s="21" t="n">
        <v>1</v>
      </c>
      <c r="E38" s="21">
        <f>ROUNDUP(C38*$C$3/D38,0)</f>
        <v/>
      </c>
      <c r="F38" s="23" t="n">
        <v>0</v>
      </c>
      <c r="G38" s="21">
        <f>MAX(0,E38-F38)</f>
        <v/>
      </c>
      <c r="H38" s="22" t="inlineStr">
        <is>
          <t>M5 x 8 set screw</t>
        </is>
      </c>
      <c r="I38" s="22" t="inlineStr">
        <is>
          <t>HIQTRADEBYJJ</t>
        </is>
      </c>
      <c r="J38" s="22" t="inlineStr"/>
      <c r="K38" s="22" t="inlineStr">
        <is>
          <t>Amazon</t>
        </is>
      </c>
      <c r="L38" s="24" t="inlineStr">
        <is>
          <t>B0DG33R714</t>
        </is>
      </c>
      <c r="M38" s="25" t="n">
        <v>0</v>
      </c>
      <c r="N38" s="25">
        <f>IF(M38="","",G38*M38)</f>
        <v/>
      </c>
      <c r="O38" s="22" t="inlineStr">
        <is>
          <t>In the set screw kit. From the boss's front (lower panel off): tap the 4.2 mm pilot M5; the tip pins the tube through the front wall of its 5.2 mm cross hole, 10 mm below the tube's top. Replaces the M5 x 40 bolt and nut (the kit's M5s stop at 20 mm)</t>
        </is>
      </c>
      <c r="P38" s="22" t="inlineStr">
        <is>
          <t>HIQTRADEBYJJ set screw kit (Amazon B0DG33R714); Head/Rev4 and Base/mk3_rev3.py screw lists; renders/*Screws*.png</t>
        </is>
      </c>
    </row>
    <row r="39">
      <c r="A39" s="21" t="n">
        <v>23</v>
      </c>
      <c r="B39" s="22" t="inlineStr">
        <is>
          <t>Friction collar</t>
        </is>
      </c>
      <c r="C39" s="21" t="n">
        <v>1</v>
      </c>
      <c r="D39" s="21" t="n">
        <v>1</v>
      </c>
      <c r="E39" s="21">
        <f>ROUNDUP(C39*$C$3/D39,0)</f>
        <v/>
      </c>
      <c r="F39" s="23" t="n">
        <v>0</v>
      </c>
      <c r="G39" s="21">
        <f>MAX(0,E39-F39)</f>
        <v/>
      </c>
      <c r="H39" s="22" t="inlineStr">
        <is>
          <t>M4 x 12 countersunk screw + M4 hex nut</t>
        </is>
      </c>
      <c r="I39" s="22" t="inlineStr">
        <is>
          <t>AvrestYPT</t>
        </is>
      </c>
      <c r="J39" s="22" t="inlineStr"/>
      <c r="K39" s="22" t="inlineStr">
        <is>
          <t>Amazon</t>
        </is>
      </c>
      <c r="L39" s="24" t="inlineStr">
        <is>
          <t>B0FMD5TMSH</t>
        </is>
      </c>
      <c r="M39" s="25" t="n">
        <v>0</v>
      </c>
      <c r="N39" s="25">
        <f>IF(M39="","",G39*M39)</f>
        <v/>
      </c>
      <c r="O39" s="22" t="inlineStr">
        <is>
          <t>In the screw kit. Pinch screw: the head sits 2 mm into the +y ear, the nut in the -y ear's pocket</t>
        </is>
      </c>
      <c r="P39" s="22" t="inlineStr">
        <is>
          <t>AvrestYPT screw kit (Amazon B0FMD5TMSH); Head/Rev4 and Base/mk3_rev3.py screw lists; renders/*Screws*.png</t>
        </is>
      </c>
    </row>
    <row r="40">
      <c r="A40" s="10" t="n">
        <v>24</v>
      </c>
      <c r="B40" s="11" t="inlineStr">
        <is>
          <t>Throttle grip</t>
        </is>
      </c>
      <c r="C40" s="10" t="n">
        <v>4</v>
      </c>
      <c r="D40" s="10" t="n">
        <v>50</v>
      </c>
      <c r="E40" s="10">
        <f>ROUNDUP(C40*$C$3/D40,0)</f>
        <v/>
      </c>
      <c r="F40" s="12" t="n">
        <v>1</v>
      </c>
      <c r="G40" s="10">
        <f>MAX(0,E40-F40)</f>
        <v/>
      </c>
      <c r="H40" s="11" t="inlineStr">
        <is>
          <t>O-ring, 24 mm ID x 28 mm OD x 2 mm, nitrile (NBR 70A), pack of 50</t>
        </is>
      </c>
      <c r="I40" s="11" t="inlineStr">
        <is>
          <t>FOCMKEAS</t>
        </is>
      </c>
      <c r="J40" s="11" t="inlineStr"/>
      <c r="K40" s="11" t="inlineStr">
        <is>
          <t>Amazon</t>
        </is>
      </c>
      <c r="L40" s="13" t="inlineStr">
        <is>
          <t>B0BWWBTL4N</t>
        </is>
      </c>
      <c r="M40" s="14" t="n">
        <v>6.89</v>
      </c>
      <c r="N40" s="14">
        <f>IF(M40="","",G40*M40)</f>
        <v/>
      </c>
      <c r="O40" s="11" t="inlineStr">
        <is>
          <t>The grip floats on these: two in grooves in its bore (its bearings on the tube), one in the friction collar's groove and one in the ceiling's groove round the tube. Grease them lightly with silicone grease</t>
        </is>
      </c>
      <c r="P40" s="11" t="inlineStr">
        <is>
          <t>Head/Rev4/README.md and Head/Rev3/README.md, Bought; Amazon listing 2026-10-23</t>
        </is>
      </c>
    </row>
    <row r="41">
      <c r="A41" s="10" t="n">
        <v>25</v>
      </c>
      <c r="B41" s="11" t="inlineStr">
        <is>
          <t>Trigger pivot</t>
        </is>
      </c>
      <c r="C41" s="10" t="n">
        <v>1</v>
      </c>
      <c r="D41" s="10" t="inlineStr">
        <is>
          <t>once</t>
        </is>
      </c>
      <c r="E41" s="10">
        <f>IF($C$3&gt;0,C41,0)</f>
        <v/>
      </c>
      <c r="F41" s="12" t="n">
        <v>1</v>
      </c>
      <c r="G41" s="10">
        <f>MAX(0,E41-F41)</f>
        <v/>
      </c>
      <c r="H41" s="11" t="inlineStr">
        <is>
          <t>M3 countersunk hex socket screws, 10.9 black oxide, M3 x 20 / 25 / 30 / 35 / 40, 100 pcs</t>
        </is>
      </c>
      <c r="I41" s="11" t="inlineStr">
        <is>
          <t>Amazon</t>
        </is>
      </c>
      <c r="J41" s="11" t="inlineStr"/>
      <c r="K41" s="11" t="inlineStr">
        <is>
          <t>Amazon</t>
        </is>
      </c>
      <c r="L41" s="13" t="inlineStr">
        <is>
          <t>B0BYXS4BTF</t>
        </is>
      </c>
      <c r="M41" s="14" t="n">
        <v>9.99</v>
      </c>
      <c r="N41" s="14">
        <f>IF(M41="","",G41*M41)</f>
        <v/>
      </c>
      <c r="O41" s="11" t="inlineStr">
        <is>
          <t>Ordered 2026-10-23. Uses the M3 x 25 (ISO 10642 / DIN 7991); the kits stop at 20 mm. Head in the countersink in the mount's left lug, through the trigger, then about 8 mm into the right lug's 2.5 mm pilot (tap it M3 all the way through); the tip stays about 0.9 mm inside the lug</t>
        </is>
      </c>
      <c r="P41" s="11" t="inlineStr">
        <is>
          <t>Head/Rev4/README.md and Head/Rev3/README.md, Bought; user's choice 2026-10-23; Amazon listing 2026-10-23</t>
        </is>
      </c>
    </row>
    <row r="42">
      <c r="A42" s="21" t="n">
        <v>26</v>
      </c>
      <c r="B42" s="22" t="inlineStr">
        <is>
          <t>Trigger pull stop</t>
        </is>
      </c>
      <c r="C42" s="21" t="n">
        <v>1</v>
      </c>
      <c r="D42" s="21" t="n">
        <v>1</v>
      </c>
      <c r="E42" s="21">
        <f>ROUNDUP(C42*$C$3/D42,0)</f>
        <v/>
      </c>
      <c r="F42" s="23" t="n">
        <v>0</v>
      </c>
      <c r="G42" s="21">
        <f>MAX(0,E42-F42)</f>
        <v/>
      </c>
      <c r="H42" s="22" t="inlineStr">
        <is>
          <t>M3 x 4 set screw</t>
        </is>
      </c>
      <c r="I42" s="22" t="inlineStr">
        <is>
          <t>HIQTRADEBYJJ</t>
        </is>
      </c>
      <c r="J42" s="22" t="inlineStr"/>
      <c r="K42" s="22" t="inlineStr">
        <is>
          <t>Amazon</t>
        </is>
      </c>
      <c r="L42" s="24" t="inlineStr">
        <is>
          <t>B0DG33R714</t>
        </is>
      </c>
      <c r="M42" s="25" t="n">
        <v>0</v>
      </c>
      <c r="N42" s="25">
        <f>IF(M42="","",G42*M42)</f>
        <v/>
      </c>
      <c r="O42" s="22" t="inlineStr">
        <is>
          <t>In the set screw kit. Through the trigger's arm (tap M3); its tip bears on the mount. Set it so the starter switch clicks before the stop</t>
        </is>
      </c>
      <c r="P42" s="22" t="inlineStr">
        <is>
          <t>HIQTRADEBYJJ set screw kit (Amazon B0DG33R714); Head/Rev4 and Base/mk3_rev3.py screw lists; renders/*Screws*.png</t>
        </is>
      </c>
    </row>
    <row r="43">
      <c r="A43" s="21" t="n">
        <v>27</v>
      </c>
      <c r="B43" s="22" t="inlineStr">
        <is>
          <t>Panels</t>
        </is>
      </c>
      <c r="C43" s="21" t="n">
        <v>8</v>
      </c>
      <c r="D43" s="21" t="n">
        <v>1</v>
      </c>
      <c r="E43" s="21">
        <f>ROUNDUP(C43*$C$3/D43,0)</f>
        <v/>
      </c>
      <c r="F43" s="23" t="n">
        <v>0</v>
      </c>
      <c r="G43" s="21">
        <f>MAX(0,E43-F43)</f>
        <v/>
      </c>
      <c r="H43" s="22" t="inlineStr">
        <is>
          <t>M3 x 12 countersunk screw (DIN 7991)</t>
        </is>
      </c>
      <c r="I43" s="22" t="inlineStr">
        <is>
          <t>AvrestYPT</t>
        </is>
      </c>
      <c r="J43" s="22" t="inlineStr"/>
      <c r="K43" s="22" t="inlineStr">
        <is>
          <t>Amazon</t>
        </is>
      </c>
      <c r="L43" s="24" t="inlineStr">
        <is>
          <t>B0FMD5TMSH</t>
        </is>
      </c>
      <c r="M43" s="25" t="n">
        <v>0</v>
      </c>
      <c r="N43" s="25">
        <f>IF(M43="","",G43*M43)</f>
        <v/>
      </c>
      <c r="O43" s="22" t="inlineStr">
        <is>
          <t>In the screw kit. 4 per panel, into M3 threads tapped in the box's corner columns (the pilots run 50 mm deep, so the x 12 has room)</t>
        </is>
      </c>
      <c r="P43" s="22" t="inlineStr">
        <is>
          <t>AvrestYPT screw kit (Amazon B0FMD5TMSH); Head/Rev4 and Base/mk3_rev3.py screw lists; renders/*Screws*.png</t>
        </is>
      </c>
    </row>
    <row r="44">
      <c r="A44" s="21" t="n">
        <v>28</v>
      </c>
      <c r="B44" s="22" t="inlineStr">
        <is>
          <t>HeliSR board</t>
        </is>
      </c>
      <c r="C44" s="21" t="n">
        <v>4</v>
      </c>
      <c r="D44" s="21" t="n">
        <v>1</v>
      </c>
      <c r="E44" s="21">
        <f>ROUNDUP(C44*$C$3/D44,0)</f>
        <v/>
      </c>
      <c r="F44" s="23" t="n">
        <v>0</v>
      </c>
      <c r="G44" s="21">
        <f>MAX(0,E44-F44)</f>
        <v/>
      </c>
      <c r="H44" s="22" t="inlineStr">
        <is>
          <t>M3 x 12 countersunk screw (DIN 7991) + M3 hex nut</t>
        </is>
      </c>
      <c r="I44" s="22" t="inlineStr">
        <is>
          <t>AvrestYPT</t>
        </is>
      </c>
      <c r="J44" s="22" t="inlineStr"/>
      <c r="K44" s="22" t="inlineStr">
        <is>
          <t>Amazon</t>
        </is>
      </c>
      <c r="L44" s="24" t="inlineStr">
        <is>
          <t>B0FMD5TMSH</t>
        </is>
      </c>
      <c r="M44" s="25" t="n">
        <v>0</v>
      </c>
      <c r="N44" s="25">
        <f>IF(M44="","",G44*M44)</f>
        <v/>
      </c>
      <c r="O44" s="22" t="inlineStr">
        <is>
          <t>In the screw kit. From outside the rear wall through a spacer and the board</t>
        </is>
      </c>
      <c r="P44" s="22" t="inlineStr">
        <is>
          <t>AvrestYPT screw kit (Amazon B0FMD5TMSH); Head/Rev4 and Base/mk3_rev3.py screw lists; renders/*Screws*.png</t>
        </is>
      </c>
    </row>
    <row r="45">
      <c r="A45" s="10" t="n">
        <v>29</v>
      </c>
      <c r="B45" s="11" t="inlineStr">
        <is>
          <t>HeliSR board</t>
        </is>
      </c>
      <c r="C45" s="10" t="n">
        <v>4</v>
      </c>
      <c r="D45" s="10" t="n">
        <v>1</v>
      </c>
      <c r="E45" s="10">
        <f>ROUNDUP(C45*$C$3/D45,0)</f>
        <v/>
      </c>
      <c r="F45" s="12" t="n">
        <v>4</v>
      </c>
      <c r="G45" s="10">
        <f>MAX(0,E45-F45)</f>
        <v/>
      </c>
      <c r="H45" s="11" t="inlineStr">
        <is>
          <t>Round spacer, unthreaded, for M3, 4 mm long, 6.4 mm OD, PVC, self-retaining</t>
        </is>
      </c>
      <c r="I45" s="11" t="inlineStr">
        <is>
          <t>Bivar</t>
        </is>
      </c>
      <c r="J45" s="11" t="inlineStr">
        <is>
          <t>SRS-4-4MM</t>
        </is>
      </c>
      <c r="K45" s="11" t="inlineStr">
        <is>
          <t>Digi-Key</t>
        </is>
      </c>
      <c r="L45" s="13" t="inlineStr">
        <is>
          <t>SRS-4-4MM-ND</t>
        </is>
      </c>
      <c r="M45" s="14" t="n">
        <v>0.1</v>
      </c>
      <c r="N45" s="14">
        <f>IF(M45="","",G45*M45)</f>
        <v/>
      </c>
      <c r="O45" s="11" t="inlineStr">
        <is>
          <t>Between the rear wall and the board</t>
        </is>
      </c>
      <c r="P45" s="11" t="inlineStr">
        <is>
          <t>Head/Rev4/README.md and Head/Rev3/README.md, Bought</t>
        </is>
      </c>
    </row>
    <row r="46">
      <c r="A46" s="26" t="n">
        <v>30</v>
      </c>
      <c r="B46" s="27" t="inlineStr">
        <is>
          <t>Trigger</t>
        </is>
      </c>
      <c r="C46" s="26" t="n">
        <v>1</v>
      </c>
      <c r="D46" s="26" t="n">
        <v>10</v>
      </c>
      <c r="E46" s="26">
        <f>ROUNDUP(C46*$C$3/D46,0)</f>
        <v/>
      </c>
      <c r="F46" s="28" t="n">
        <v>0</v>
      </c>
      <c r="G46" s="26">
        <f>MAX(0,E46-F46)</f>
        <v/>
      </c>
      <c r="H46" s="27" t="inlineStr">
        <is>
          <t>Pen spring, 4 mm OD x 50 mm, 0.4 mm wire, pack of 10</t>
        </is>
      </c>
      <c r="I46" s="27" t="inlineStr">
        <is>
          <t>uxcell</t>
        </is>
      </c>
      <c r="J46" s="27" t="inlineStr"/>
      <c r="K46" s="27" t="inlineStr">
        <is>
          <t>Amazon</t>
        </is>
      </c>
      <c r="L46" s="29" t="inlineStr">
        <is>
          <t>B0GCZGNBYH</t>
        </is>
      </c>
      <c r="M46" s="30" t="n">
        <v>6.99</v>
      </c>
      <c r="N46" s="30">
        <f>IF(M46="","",G46*M46)</f>
        <v/>
      </c>
      <c r="O46" s="27" t="inlineStr">
        <is>
          <t>Trigger return: cut to about 13 mm</t>
        </is>
      </c>
      <c r="P46" s="27" t="inlineStr">
        <is>
          <t>Head/Rev4/README.md and Head/Rev3/README.md, Bought; Amazon listing 2026-10-23</t>
        </is>
      </c>
    </row>
    <row r="47">
      <c r="A47" s="26" t="n">
        <v>31</v>
      </c>
      <c r="B47" s="27" t="inlineStr">
        <is>
          <t>Head box</t>
        </is>
      </c>
      <c r="C47" s="26" t="n">
        <v>1</v>
      </c>
      <c r="D47" s="26" t="n">
        <v>1</v>
      </c>
      <c r="E47" s="26">
        <f>ROUNDUP(C47*$C$3/D47,0)</f>
        <v/>
      </c>
      <c r="F47" s="28" t="n">
        <v>0</v>
      </c>
      <c r="G47" s="26">
        <f>MAX(0,E47-F47)</f>
        <v/>
      </c>
      <c r="H47" s="27" t="inlineStr">
        <is>
          <t>Ballast: lead split shot fishing weights, assorted, 120 pcs</t>
        </is>
      </c>
      <c r="I47" s="27" t="inlineStr">
        <is>
          <t>SANWEAL</t>
        </is>
      </c>
      <c r="J47" s="27" t="inlineStr"/>
      <c r="K47" s="27" t="inlineStr">
        <is>
          <t>Amazon</t>
        </is>
      </c>
      <c r="L47" s="29" t="inlineStr">
        <is>
          <t>B0H6J3X6GL</t>
        </is>
      </c>
      <c r="M47" s="30" t="n">
        <v>5.99</v>
      </c>
      <c r="N47" s="30">
        <f>IF(M47="","",G47*M47)</f>
        <v/>
      </c>
      <c r="O47" s="27" t="inlineStr">
        <is>
          <t>Only if the gas strut lifts too much: about 48 g for a 45 N strut. Close to the middle of the box. Weigh out what you need</t>
        </is>
      </c>
      <c r="P47" s="27" t="inlineStr">
        <is>
          <t>Base/README.md, Bought parts; Amazon listing 2026-10-23</t>
        </is>
      </c>
    </row>
    <row r="48">
      <c r="M48" s="3" t="inlineStr">
        <is>
          <t>Subtotal</t>
        </is>
      </c>
      <c r="N48" s="15">
        <f>SUM(N38:N47)</f>
        <v/>
      </c>
    </row>
    <row r="49">
      <c r="A49" s="7" t="inlineStr">
        <is>
          <t>MkIII base Rev 3 (concept, not yet printed)</t>
        </is>
      </c>
      <c r="B49" s="8" t="n"/>
      <c r="C49" s="8" t="n"/>
      <c r="D49" s="8" t="n"/>
      <c r="E49" s="8" t="n"/>
      <c r="F49" s="8" t="n"/>
      <c r="G49" s="8" t="n"/>
      <c r="H49" s="8" t="n"/>
      <c r="I49" s="8" t="n"/>
      <c r="J49" s="8" t="n"/>
      <c r="K49" s="8" t="n"/>
      <c r="L49" s="8" t="n"/>
      <c r="M49" s="8" t="n"/>
      <c r="N49" s="8" t="n"/>
      <c r="O49" s="8" t="n"/>
      <c r="P49" s="9" t="n"/>
    </row>
    <row r="50">
      <c r="A50" s="10" t="n">
        <v>32</v>
      </c>
      <c r="B50" s="11" t="inlineStr">
        <is>
          <t>Pivot</t>
        </is>
      </c>
      <c r="C50" s="10" t="n">
        <v>2</v>
      </c>
      <c r="D50" s="10" t="n">
        <v>2</v>
      </c>
      <c r="E50" s="10">
        <f>ROUNDUP(C50*$C$3/D50,0)</f>
        <v/>
      </c>
      <c r="F50" s="12" t="n">
        <v>1</v>
      </c>
      <c r="G50" s="10">
        <f>MAX(0,E50-F50)</f>
        <v/>
      </c>
      <c r="H50" s="11" t="inlineStr">
        <is>
          <t>Deep-groove ball bearing 6006-2RS, 30 x 55 x 13 mm</t>
        </is>
      </c>
      <c r="I50" s="11" t="inlineStr">
        <is>
          <t>BlueStars</t>
        </is>
      </c>
      <c r="J50" s="11" t="inlineStr">
        <is>
          <t>6006-2RS</t>
        </is>
      </c>
      <c r="K50" s="11" t="inlineStr">
        <is>
          <t>Amazon</t>
        </is>
      </c>
      <c r="L50" s="13" t="inlineStr">
        <is>
          <t>B09XTV8XYK</t>
        </is>
      </c>
      <c r="M50" s="14" t="n">
        <v>8.99</v>
      </c>
      <c r="N50" s="14">
        <f>IF(M50="","",G50*M50)</f>
        <v/>
      </c>
      <c r="O50" s="11" t="inlineStr">
        <is>
          <t>Sold in pairs</t>
        </is>
      </c>
      <c r="P50" s="11" t="inlineStr">
        <is>
          <t>Amazon listing on 2026-10-22 (link you sent); Base/mk3_pivot.py (the Rev 1 parts Rev 3 keeps)</t>
        </is>
      </c>
    </row>
    <row r="51">
      <c r="A51" s="10" t="n">
        <v>33</v>
      </c>
      <c r="B51" s="11" t="inlineStr">
        <is>
          <t>Tube</t>
        </is>
      </c>
      <c r="C51" s="10" t="n">
        <v>1</v>
      </c>
      <c r="D51" s="10" t="n">
        <v>2</v>
      </c>
      <c r="E51" s="10">
        <f>ROUNDUP(C51*$C$3/D51,0)</f>
        <v/>
      </c>
      <c r="F51" s="12" t="n">
        <v>1</v>
      </c>
      <c r="G51" s="10">
        <f>MAX(0,E51-F51)</f>
        <v/>
      </c>
      <c r="H51" s="11" t="inlineStr">
        <is>
          <t>Carbon fibre tube, 25 mm OD x 23 mm ID, 500 mm, 3K plain weave, wrapped</t>
        </is>
      </c>
      <c r="I51" s="11" t="inlineStr">
        <is>
          <t>MECCANIXITY</t>
        </is>
      </c>
      <c r="J51" s="11" t="inlineStr"/>
      <c r="K51" s="11" t="inlineStr">
        <is>
          <t>Amazon</t>
        </is>
      </c>
      <c r="L51" s="13" t="inlineStr">
        <is>
          <t>B0CFFT1B31</t>
        </is>
      </c>
      <c r="M51" s="14" t="n">
        <v>27.49</v>
      </c>
      <c r="N51" s="14">
        <f>IF(M51="","",G51*M51)</f>
        <v/>
      </c>
      <c r="O51" s="11" t="inlineStr">
        <is>
          <t>Sold in pairs. Wrapped, as the base needs (not pultruded). Cut to 483 mm (470 + the head's extra 12.7 mm of bore). Drill the M4 lock-screw hole 30.5 mm from the bottom end and the head's 5.2 mm cross hole 10 mm below the top end. Check the socket and head fits with it (coupons)</t>
        </is>
      </c>
      <c r="P51" s="11" t="inlineStr">
        <is>
          <t>Amazon listing on 2026-10-22 (link you sent); Base/README.md, Bought parts</t>
        </is>
      </c>
    </row>
    <row r="52">
      <c r="A52" s="21" t="n">
        <v>34</v>
      </c>
      <c r="B52" s="22" t="inlineStr">
        <is>
          <t>Lever halves</t>
        </is>
      </c>
      <c r="C52" s="21" t="n">
        <v>4</v>
      </c>
      <c r="D52" s="21" t="n">
        <v>1</v>
      </c>
      <c r="E52" s="21">
        <f>ROUNDUP(C52*$C$3/D52,0)</f>
        <v/>
      </c>
      <c r="F52" s="23" t="n">
        <v>0</v>
      </c>
      <c r="G52" s="21">
        <f>MAX(0,E52-F52)</f>
        <v/>
      </c>
      <c r="H52" s="22" t="inlineStr">
        <is>
          <t>M4 x 20 countersunk screw + M4 hex nut</t>
        </is>
      </c>
      <c r="I52" s="22" t="inlineStr">
        <is>
          <t>AvrestYPT</t>
        </is>
      </c>
      <c r="J52" s="22" t="inlineStr"/>
      <c r="K52" s="22" t="inlineStr">
        <is>
          <t>Amazon</t>
        </is>
      </c>
      <c r="L52" s="24" t="inlineStr">
        <is>
          <t>B0FMD5TMSH</t>
        </is>
      </c>
      <c r="M52" s="25" t="n">
        <v>0</v>
      </c>
      <c r="N52" s="25">
        <f>IF(M52="","",G52*M52)</f>
        <v/>
      </c>
      <c r="O52" s="22" t="inlineStr">
        <is>
          <t>In the screw kit. From the top, the heads 16 mm down their counterbores (a long 2.5 mm hex key helps); the nuts go in the lower half's pockets first</t>
        </is>
      </c>
      <c r="P52" s="22" t="inlineStr">
        <is>
          <t>AvrestYPT screw kit (Amazon B0FMD5TMSH); Head/Rev4 and Base/mk3_rev3.py screw lists; renders/*Screws*.png</t>
        </is>
      </c>
    </row>
    <row r="53">
      <c r="A53" s="10" t="n">
        <v>35</v>
      </c>
      <c r="B53" s="11" t="inlineStr">
        <is>
          <t>Strut</t>
        </is>
      </c>
      <c r="C53" s="10" t="n">
        <v>1</v>
      </c>
      <c r="D53" s="10" t="n">
        <v>2</v>
      </c>
      <c r="E53" s="10">
        <f>ROUNDUP(C53*$C$3/D53,0)</f>
        <v/>
      </c>
      <c r="F53" s="12" t="n">
        <v>1</v>
      </c>
      <c r="G53" s="10">
        <f>MAX(0,E53-F53)</f>
        <v/>
      </c>
      <c r="H53" s="11" t="inlineStr">
        <is>
          <t>Gas strut, 6 in (152.4 mm eye to eye), 45 N (sold as 9-12 lb), flat eyelet tabs</t>
        </is>
      </c>
      <c r="I53" s="11" t="inlineStr">
        <is>
          <t>X AUTOHAUX</t>
        </is>
      </c>
      <c r="J53" s="11" t="inlineStr"/>
      <c r="K53" s="11" t="inlineStr">
        <is>
          <t>Amazon</t>
        </is>
      </c>
      <c r="L53" s="13" t="inlineStr">
        <is>
          <t>B0CY267GFY</t>
        </is>
      </c>
      <c r="M53" s="14" t="n">
        <v>13.69</v>
      </c>
      <c r="N53" s="14">
        <f>IF(M53="","",G53*M53)</f>
        <v/>
      </c>
      <c r="O53" s="11" t="inlineStr">
        <is>
          <t>Sold in pairs: the spare is the other half</t>
        </is>
      </c>
      <c r="P53" s="11" t="inlineStr">
        <is>
          <t>Base/README.md, Bought parts</t>
        </is>
      </c>
    </row>
    <row r="54">
      <c r="A54" s="21" t="n">
        <v>36</v>
      </c>
      <c r="B54" s="22" t="inlineStr">
        <is>
          <t>Strut eyes</t>
        </is>
      </c>
      <c r="C54" s="21" t="n">
        <v>2</v>
      </c>
      <c r="D54" s="21" t="n">
        <v>1</v>
      </c>
      <c r="E54" s="21">
        <f>ROUNDUP(C54*$C$3/D54,0)</f>
        <v/>
      </c>
      <c r="F54" s="23" t="n">
        <v>0</v>
      </c>
      <c r="G54" s="21">
        <f>MAX(0,E54-F54)</f>
        <v/>
      </c>
      <c r="H54" s="22" t="inlineStr">
        <is>
          <t>M4 x 16 countersunk screw + M4 hex nut</t>
        </is>
      </c>
      <c r="I54" s="22" t="inlineStr">
        <is>
          <t>AvrestYPT</t>
        </is>
      </c>
      <c r="J54" s="22" t="inlineStr"/>
      <c r="K54" s="22" t="inlineStr">
        <is>
          <t>Amazon</t>
        </is>
      </c>
      <c r="L54" s="24" t="inlineStr">
        <is>
          <t>B0FMD5TMSH</t>
        </is>
      </c>
      <c r="M54" s="25" t="n">
        <v>0</v>
      </c>
      <c r="N54" s="25">
        <f>IF(M54="","",G54*M54)</f>
        <v/>
      </c>
      <c r="O54" s="22" t="inlineStr">
        <is>
          <t>In the screw kit. One per eye: head on +y, nut in the -y cheek's pocket. The listing gives the strut's eye holes as 4 mm. Snug, then thread-lock: the eye must still turn</t>
        </is>
      </c>
      <c r="P54" s="22" t="inlineStr">
        <is>
          <t>AvrestYPT screw kit (Amazon B0FMD5TMSH); Head/Rev4 and Base/mk3_rev3.py screw lists; renders/*Screws*.png</t>
        </is>
      </c>
    </row>
    <row r="55">
      <c r="A55" s="21" t="n">
        <v>37</v>
      </c>
      <c r="B55" s="22" t="inlineStr">
        <is>
          <t>Strut collar</t>
        </is>
      </c>
      <c r="C55" s="21" t="n">
        <v>1</v>
      </c>
      <c r="D55" s="21" t="n">
        <v>1</v>
      </c>
      <c r="E55" s="21">
        <f>ROUNDUP(C55*$C$3/D55,0)</f>
        <v/>
      </c>
      <c r="F55" s="23" t="n">
        <v>0</v>
      </c>
      <c r="G55" s="21">
        <f>MAX(0,E55-F55)</f>
        <v/>
      </c>
      <c r="H55" s="22" t="inlineStr">
        <is>
          <t>M4 x 12 countersunk screw + M4 hex nut</t>
        </is>
      </c>
      <c r="I55" s="22" t="inlineStr">
        <is>
          <t>AvrestYPT</t>
        </is>
      </c>
      <c r="J55" s="22" t="inlineStr"/>
      <c r="K55" s="22" t="inlineStr">
        <is>
          <t>Amazon</t>
        </is>
      </c>
      <c r="L55" s="24" t="inlineStr">
        <is>
          <t>B0FMD5TMSH</t>
        </is>
      </c>
      <c r="M55" s="25" t="n">
        <v>0</v>
      </c>
      <c r="N55" s="25">
        <f>IF(M55="","",G55*M55)</f>
        <v/>
      </c>
      <c r="O55" s="22" t="inlineStr">
        <is>
          <t>In the screw kit. Collar clamp: the head sits 2 mm into the -y ear, the nut in the +y ear's pocket</t>
        </is>
      </c>
      <c r="P55" s="22" t="inlineStr">
        <is>
          <t>AvrestYPT screw kit (Amazon B0FMD5TMSH); Head/Rev4 and Base/mk3_rev3.py screw lists; renders/*Screws*.png</t>
        </is>
      </c>
    </row>
    <row r="56">
      <c r="A56" s="21" t="n">
        <v>38</v>
      </c>
      <c r="B56" s="22" t="inlineStr">
        <is>
          <t>Down-stops</t>
        </is>
      </c>
      <c r="C56" s="21" t="n">
        <v>2</v>
      </c>
      <c r="D56" s="21" t="n">
        <v>1</v>
      </c>
      <c r="E56" s="21">
        <f>ROUNDUP(C56*$C$3/D56,0)</f>
        <v/>
      </c>
      <c r="F56" s="23" t="n">
        <v>0</v>
      </c>
      <c r="G56" s="21">
        <f>MAX(0,E56-F56)</f>
        <v/>
      </c>
      <c r="H56" s="22" t="inlineStr">
        <is>
          <t>M4 x 16 countersunk screw + 2 M4 hex nuts</t>
        </is>
      </c>
      <c r="I56" s="22" t="inlineStr">
        <is>
          <t>AvrestYPT</t>
        </is>
      </c>
      <c r="J56" s="22" t="inlineStr"/>
      <c r="K56" s="22" t="inlineStr">
        <is>
          <t>Amazon</t>
        </is>
      </c>
      <c r="L56" s="24" t="inlineStr">
        <is>
          <t>B0FMD5TMSH</t>
        </is>
      </c>
      <c r="M56" s="25" t="n">
        <v>0</v>
      </c>
      <c r="N56" s="25">
        <f>IF(M56="","",G56*M56)</f>
        <v/>
      </c>
      <c r="O56" s="22" t="inlineStr">
        <is>
          <t>In the screw kit. Head up: its flat top is the stop. One nut pressed into the post's top pocket, the second on top of it locks the height that levels the tube</t>
        </is>
      </c>
      <c r="P56" s="22" t="inlineStr">
        <is>
          <t>AvrestYPT screw kit (Amazon B0FMD5TMSH); Head/Rev4 and Base/mk3_rev3.py screw lists; renders/*Screws*.png</t>
        </is>
      </c>
    </row>
    <row r="57">
      <c r="A57" s="21" t="n">
        <v>39</v>
      </c>
      <c r="B57" s="22" t="inlineStr">
        <is>
          <t>Pillow-block caps</t>
        </is>
      </c>
      <c r="C57" s="21" t="n">
        <v>4</v>
      </c>
      <c r="D57" s="21" t="n">
        <v>1</v>
      </c>
      <c r="E57" s="21">
        <f>ROUNDUP(C57*$C$3/D57,0)</f>
        <v/>
      </c>
      <c r="F57" s="23" t="n">
        <v>0</v>
      </c>
      <c r="G57" s="21">
        <f>MAX(0,E57-F57)</f>
        <v/>
      </c>
      <c r="H57" s="22" t="inlineStr">
        <is>
          <t>M4 x 20 countersunk screw + M4 hex nut</t>
        </is>
      </c>
      <c r="I57" s="22" t="inlineStr">
        <is>
          <t>AvrestYPT</t>
        </is>
      </c>
      <c r="J57" s="22" t="inlineStr"/>
      <c r="K57" s="22" t="inlineStr">
        <is>
          <t>Amazon</t>
        </is>
      </c>
      <c r="L57" s="24" t="inlineStr">
        <is>
          <t>B0FMD5TMSH</t>
        </is>
      </c>
      <c r="M57" s="25" t="n">
        <v>0</v>
      </c>
      <c r="N57" s="25">
        <f>IF(M57="","",G57*M57)</f>
        <v/>
      </c>
      <c r="O57" s="22" t="inlineStr">
        <is>
          <t>In the screw kit. Two per cap, from the top; each nut slides into a slot in the block's front or back face. Length from the CAD</t>
        </is>
      </c>
      <c r="P57" s="22" t="inlineStr">
        <is>
          <t>AvrestYPT screw kit (Amazon B0FMD5TMSH); Head/Rev4 and Base/mk3_rev3.py screw lists; renders/*Screws*.png</t>
        </is>
      </c>
    </row>
    <row r="58">
      <c r="A58" s="21" t="n">
        <v>40</v>
      </c>
      <c r="B58" s="22" t="inlineStr">
        <is>
          <t>Side covers</t>
        </is>
      </c>
      <c r="C58" s="21" t="n">
        <v>8</v>
      </c>
      <c r="D58" s="21" t="n">
        <v>1</v>
      </c>
      <c r="E58" s="21">
        <f>ROUNDUP(C58*$C$3/D58,0)</f>
        <v/>
      </c>
      <c r="F58" s="23" t="n">
        <v>0</v>
      </c>
      <c r="G58" s="21">
        <f>MAX(0,E58-F58)</f>
        <v/>
      </c>
      <c r="H58" s="22" t="inlineStr">
        <is>
          <t>M3 x 20 countersunk screw</t>
        </is>
      </c>
      <c r="I58" s="22" t="inlineStr">
        <is>
          <t>AvrestYPT</t>
        </is>
      </c>
      <c r="J58" s="22" t="inlineStr"/>
      <c r="K58" s="22" t="inlineStr">
        <is>
          <t>Amazon</t>
        </is>
      </c>
      <c r="L58" s="24" t="inlineStr">
        <is>
          <t>B0FMD5TMSH</t>
        </is>
      </c>
      <c r="M58" s="25" t="n">
        <v>0</v>
      </c>
      <c r="N58" s="25">
        <f>IF(M58="","",G58*M58)</f>
        <v/>
      </c>
      <c r="O58" s="22" t="inlineStr">
        <is>
          <t>In the screw kit. Four per cover, from its outer face into M3 threads tapped 7 mm deep in the block and cap. Length from the CAD</t>
        </is>
      </c>
      <c r="P58" s="22" t="inlineStr">
        <is>
          <t>AvrestYPT screw kit (Amazon B0FMD5TMSH); Head/Rev4 and Base/mk3_rev3.py screw lists; renders/*Screws*.png</t>
        </is>
      </c>
    </row>
    <row r="59">
      <c r="A59" s="21" t="n">
        <v>41</v>
      </c>
      <c r="B59" s="22" t="inlineStr">
        <is>
          <t>Cable plug</t>
        </is>
      </c>
      <c r="C59" s="21" t="n">
        <v>1</v>
      </c>
      <c r="D59" s="21" t="n">
        <v>1</v>
      </c>
      <c r="E59" s="21">
        <f>ROUNDUP(C59*$C$3/D59,0)</f>
        <v/>
      </c>
      <c r="F59" s="23" t="n">
        <v>0</v>
      </c>
      <c r="G59" s="21">
        <f>MAX(0,E59-F59)</f>
        <v/>
      </c>
      <c r="H59" s="22" t="inlineStr">
        <is>
          <t>M2 x 12 countersunk screw</t>
        </is>
      </c>
      <c r="I59" s="22" t="inlineStr">
        <is>
          <t>AvrestYPT</t>
        </is>
      </c>
      <c r="J59" s="22" t="inlineStr"/>
      <c r="K59" s="22" t="inlineStr">
        <is>
          <t>Amazon</t>
        </is>
      </c>
      <c r="L59" s="24" t="inlineStr">
        <is>
          <t>B0FMD5TMSH</t>
        </is>
      </c>
      <c r="M59" s="25" t="n">
        <v>0</v>
      </c>
      <c r="N59" s="25">
        <f>IF(M59="","",G59*M59)</f>
        <v/>
      </c>
      <c r="O59" s="22" t="inlineStr">
        <is>
          <t>In the screw kit. Up from under the cable cover's rim, through a clearance hole, into an M2 thread tapped in the plug (1.6 mm pilot): pulls the plug that closes the cable's slot down onto the cover's shoulders. Length from the CAD</t>
        </is>
      </c>
      <c r="P59" s="22" t="inlineStr">
        <is>
          <t>AvrestYPT screw kit (Amazon B0FMD5TMSH); Head/Rev4 and Base/mk3_rev3.py screw lists; renders/*Screws*.png</t>
        </is>
      </c>
    </row>
    <row r="60">
      <c r="A60" s="21" t="n">
        <v>42</v>
      </c>
      <c r="B60" s="22" t="inlineStr">
        <is>
          <t>Tube lock</t>
        </is>
      </c>
      <c r="C60" s="21" t="n">
        <v>1</v>
      </c>
      <c r="D60" s="21" t="n">
        <v>1</v>
      </c>
      <c r="E60" s="21">
        <f>ROUNDUP(C60*$C$3/D60,0)</f>
        <v/>
      </c>
      <c r="F60" s="23" t="n">
        <v>0</v>
      </c>
      <c r="G60" s="21">
        <f>MAX(0,E60-F60)</f>
        <v/>
      </c>
      <c r="H60" s="22" t="inlineStr">
        <is>
          <t>M4 x 6 set screw</t>
        </is>
      </c>
      <c r="I60" s="22" t="inlineStr">
        <is>
          <t>HIQTRADEBYJJ</t>
        </is>
      </c>
      <c r="J60" s="22" t="inlineStr"/>
      <c r="K60" s="22" t="inlineStr">
        <is>
          <t>Amazon</t>
        </is>
      </c>
      <c r="L60" s="24" t="inlineStr">
        <is>
          <t>B0DG33R714</t>
        </is>
      </c>
      <c r="M60" s="25" t="n">
        <v>0</v>
      </c>
      <c r="N60" s="25">
        <f>IF(M60="","",G60*M60)</f>
        <v/>
      </c>
      <c r="O60" s="22" t="inlineStr">
        <is>
          <t>In the set screw kit. Tap the socket boss's 3.3 mm pilot M4; the tip goes into the tube's 4 mm lock hole, 30.5 mm from its bottom end</t>
        </is>
      </c>
      <c r="P60" s="22" t="inlineStr">
        <is>
          <t>HIQTRADEBYJJ set screw kit (Amazon B0DG33R714); Head/Rev4 and Base/mk3_rev3.py screw lists; renders/*Screws*.png</t>
        </is>
      </c>
    </row>
    <row r="61">
      <c r="A61" s="21" t="n">
        <v>43</v>
      </c>
      <c r="B61" s="22" t="inlineStr">
        <is>
          <t>Friction knob</t>
        </is>
      </c>
      <c r="C61" s="21" t="n">
        <v>1</v>
      </c>
      <c r="D61" s="21" t="n">
        <v>1</v>
      </c>
      <c r="E61" s="21">
        <f>ROUNDUP(C61*$C$3/D61,0)</f>
        <v/>
      </c>
      <c r="F61" s="23" t="n">
        <v>0</v>
      </c>
      <c r="G61" s="21">
        <f>MAX(0,E61-F61)</f>
        <v/>
      </c>
      <c r="H61" s="22" t="inlineStr">
        <is>
          <t>M5 x 20 countersunk screw + M5 hex nut</t>
        </is>
      </c>
      <c r="I61" s="22" t="inlineStr">
        <is>
          <t>AvrestYPT</t>
        </is>
      </c>
      <c r="J61" s="22" t="inlineStr"/>
      <c r="K61" s="22" t="inlineStr">
        <is>
          <t>Amazon</t>
        </is>
      </c>
      <c r="L61" s="24" t="inlineStr">
        <is>
          <t>B0FMD5TMSH</t>
        </is>
      </c>
      <c r="M61" s="25" t="n">
        <v>0</v>
      </c>
      <c r="N61" s="25">
        <f>IF(M61="","",G61*M61)</f>
        <v/>
      </c>
      <c r="O61" s="22" t="inlineStr">
        <is>
          <t>In the screw kit. Glue the head into the printed knob (Base/stl/friction_knob.stl); the screw goes through the spring and the shoe into the nut, slid into the knob tower's slot from the front. Length from the CAD</t>
        </is>
      </c>
      <c r="P61" s="22" t="inlineStr">
        <is>
          <t>AvrestYPT screw kit (Amazon B0FMD5TMSH); Head/Rev4 and Base/mk3_rev3.py screw lists; renders/*Screws*.png</t>
        </is>
      </c>
    </row>
    <row r="62">
      <c r="A62" s="21" t="n">
        <v>44</v>
      </c>
      <c r="B62" s="22" t="inlineStr">
        <is>
          <t>Shoe hinge</t>
        </is>
      </c>
      <c r="C62" s="21" t="n">
        <v>1</v>
      </c>
      <c r="D62" s="21" t="n">
        <v>1</v>
      </c>
      <c r="E62" s="21">
        <f>ROUNDUP(C62*$C$3/D62,0)</f>
        <v/>
      </c>
      <c r="F62" s="23" t="n">
        <v>0</v>
      </c>
      <c r="G62" s="21">
        <f>MAX(0,E62-F62)</f>
        <v/>
      </c>
      <c r="H62" s="22" t="inlineStr">
        <is>
          <t>M4 x 20 countersunk screw + M4 hex nut</t>
        </is>
      </c>
      <c r="I62" s="22" t="inlineStr">
        <is>
          <t>AvrestYPT</t>
        </is>
      </c>
      <c r="J62" s="22" t="inlineStr"/>
      <c r="K62" s="22" t="inlineStr">
        <is>
          <t>Amazon</t>
        </is>
      </c>
      <c r="L62" s="24" t="inlineStr">
        <is>
          <t>B0FMD5TMSH</t>
        </is>
      </c>
      <c r="M62" s="25" t="n">
        <v>0</v>
      </c>
      <c r="N62" s="25">
        <f>IF(M62="","",G62*M62)</f>
        <v/>
      </c>
      <c r="O62" s="22" t="inlineStr">
        <is>
          <t>In the screw kit. Hinge pin through both frame lugs and the shoe's eye: head in the -y lug, nut in the +y lug's pocket (the lugs are 20 mm apart outside). Snug, then thread-lock: the shoe must still swing</t>
        </is>
      </c>
      <c r="P62" s="22" t="inlineStr">
        <is>
          <t>AvrestYPT screw kit (Amazon B0FMD5TMSH); Head/Rev4 and Base/mk3_rev3.py screw lists; renders/*Screws*.png</t>
        </is>
      </c>
    </row>
    <row r="63">
      <c r="M63" s="3" t="inlineStr">
        <is>
          <t>Subtotal</t>
        </is>
      </c>
      <c r="N63" s="15">
        <f>SUM(N50:N62)</f>
        <v/>
      </c>
    </row>
    <row r="64">
      <c r="A64" s="7" t="inlineStr">
        <is>
          <t>Kits, consumables and tools</t>
        </is>
      </c>
      <c r="B64" s="8" t="n"/>
      <c r="C64" s="8" t="n"/>
      <c r="D64" s="8" t="n"/>
      <c r="E64" s="8" t="n"/>
      <c r="F64" s="8" t="n"/>
      <c r="G64" s="8" t="n"/>
      <c r="H64" s="8" t="n"/>
      <c r="I64" s="8" t="n"/>
      <c r="J64" s="8" t="n"/>
      <c r="K64" s="8" t="n"/>
      <c r="L64" s="8" t="n"/>
      <c r="M64" s="8" t="n"/>
      <c r="N64" s="8" t="n"/>
      <c r="O64" s="8" t="n"/>
      <c r="P64" s="9" t="n"/>
    </row>
    <row r="65">
      <c r="A65" s="10" t="n">
        <v>45</v>
      </c>
      <c r="B65" s="11" t="inlineStr">
        <is>
          <t>Hardware</t>
        </is>
      </c>
      <c r="C65" s="10" t="n">
        <v>1</v>
      </c>
      <c r="D65" s="10" t="inlineStr">
        <is>
          <t>once</t>
        </is>
      </c>
      <c r="E65" s="10">
        <f>IF($C$3&gt;0,C65,0)</f>
        <v/>
      </c>
      <c r="F65" s="12" t="n">
        <v>1</v>
      </c>
      <c r="G65" s="10">
        <f>MAX(0,E65-F65)</f>
        <v/>
      </c>
      <c r="H65" s="11" t="inlineStr">
        <is>
          <t>Screw kit, 1715 pieces: countersunk hex-socket screws M2-M4 x 8, 12, 16, 20 and M5 x 10, 12, 16, 20, with hex nuts and washers, hex keys</t>
        </is>
      </c>
      <c r="I65" s="11" t="inlineStr">
        <is>
          <t>AvrestYPT</t>
        </is>
      </c>
      <c r="J65" s="11" t="inlineStr"/>
      <c r="K65" s="11" t="inlineStr">
        <is>
          <t>Amazon</t>
        </is>
      </c>
      <c r="L65" s="13" t="inlineStr">
        <is>
          <t>B0FMD5TMSH</t>
        </is>
      </c>
      <c r="M65" s="14" t="n">
        <v>17.99</v>
      </c>
      <c r="N65" s="14">
        <f>IF(M65="","",G65*M65)</f>
        <v/>
      </c>
      <c r="O65" s="11" t="inlineStr">
        <is>
          <t>Every countersunk screw and nut in the head and base (the green lines). Used: M3 x 12 (12), M3 x 20 (8), M4 x 12 (2), M4 x 16 (4), M4 x 20 (9), M5 x 20 (1); nuts M3 (4), M4 (17), M5 (1). Your order (link 2026-10-23)</t>
        </is>
      </c>
      <c r="P65" s="11" t="inlineStr">
        <is>
          <t>Amazon listing 2026-10-23 (your order)</t>
        </is>
      </c>
    </row>
    <row r="66">
      <c r="A66" s="10" t="n">
        <v>46</v>
      </c>
      <c r="B66" s="11" t="inlineStr">
        <is>
          <t>Hardware</t>
        </is>
      </c>
      <c r="C66" s="10" t="n">
        <v>1</v>
      </c>
      <c r="D66" s="10" t="inlineStr">
        <is>
          <t>once</t>
        </is>
      </c>
      <c r="E66" s="10">
        <f>IF($C$3&gt;0,C66,0)</f>
        <v/>
      </c>
      <c r="F66" s="12" t="n">
        <v>1</v>
      </c>
      <c r="G66" s="10">
        <f>MAX(0,E66-F66)</f>
        <v/>
      </c>
      <c r="H66" s="11" t="inlineStr">
        <is>
          <t>Set screw kit, 500 pieces, 304 stainless: M3 x 3, 4, 5, 6; M4 x 4, 5, 6; M5 x 5, 8; M6 x 6, 10; M8 x 8; hex keys</t>
        </is>
      </c>
      <c r="I66" s="11" t="inlineStr">
        <is>
          <t>HIQTRADEBYJJ</t>
        </is>
      </c>
      <c r="J66" s="11" t="inlineStr"/>
      <c r="K66" s="11" t="inlineStr">
        <is>
          <t>Amazon</t>
        </is>
      </c>
      <c r="L66" s="13" t="inlineStr">
        <is>
          <t>B0DG33R714</t>
        </is>
      </c>
      <c r="M66" s="14" t="n">
        <v>8.960000000000001</v>
      </c>
      <c r="N66" s="14">
        <f>IF(M66="","",G66*M66)</f>
        <v/>
      </c>
      <c r="O66" s="11" t="inlineStr">
        <is>
          <t>The set screws: M5 x 8 (tube, head), M3 x 4 (trigger pull stop), M4 x 6 (tube lock, base). Your order (link 2026-10-23)</t>
        </is>
      </c>
      <c r="P66" s="11" t="inlineStr">
        <is>
          <t>Amazon listing 2026-10-23 (your order)</t>
        </is>
      </c>
    </row>
    <row r="67">
      <c r="A67" s="10" t="n">
        <v>47</v>
      </c>
      <c r="B67" s="11" t="inlineStr">
        <is>
          <t>Assembly</t>
        </is>
      </c>
      <c r="C67" s="10" t="n">
        <v>1</v>
      </c>
      <c r="D67" s="10" t="inlineStr">
        <is>
          <t>once</t>
        </is>
      </c>
      <c r="E67" s="10">
        <f>IF($C$3&gt;0,C67,0)</f>
        <v/>
      </c>
      <c r="F67" s="12" t="n">
        <v>1</v>
      </c>
      <c r="G67" s="10">
        <f>MAX(0,E67-F67)</f>
        <v/>
      </c>
      <c r="H67" s="11" t="inlineStr">
        <is>
          <t>White lithium grease, 1.5 oz tube</t>
        </is>
      </c>
      <c r="I67" s="11" t="inlineStr">
        <is>
          <t>Permatex</t>
        </is>
      </c>
      <c r="J67" s="11" t="inlineStr"/>
      <c r="K67" s="11" t="inlineStr">
        <is>
          <t>Amazon</t>
        </is>
      </c>
      <c r="L67" s="13" t="inlineStr">
        <is>
          <t>B000HBNV58</t>
        </is>
      </c>
      <c r="M67" s="14" t="n">
        <v>3.99</v>
      </c>
      <c r="N67" s="14">
        <f>IF(M67="","",G67*M67)</f>
        <v/>
      </c>
      <c r="O67" s="11" t="inlineStr">
        <is>
          <t>Bearing grease (not silicone paste)</t>
        </is>
      </c>
      <c r="P67" s="11" t="inlineStr">
        <is>
          <t>Head/Rev4/README.md; Base/README.md; Amazon listing 2026-10-23</t>
        </is>
      </c>
    </row>
    <row r="68">
      <c r="A68" s="10" t="n">
        <v>48</v>
      </c>
      <c r="B68" s="11" t="inlineStr">
        <is>
          <t>Assembly</t>
        </is>
      </c>
      <c r="C68" s="10" t="n">
        <v>1</v>
      </c>
      <c r="D68" s="10" t="inlineStr">
        <is>
          <t>once</t>
        </is>
      </c>
      <c r="E68" s="10">
        <f>IF($C$3&gt;0,C68,0)</f>
        <v/>
      </c>
      <c r="F68" s="12" t="n">
        <v>1</v>
      </c>
      <c r="G68" s="10">
        <f>MAX(0,E68-F68)</f>
        <v/>
      </c>
      <c r="H68" s="11" t="inlineStr">
        <is>
          <t>Silicone faucet grease, waterproof, 0.5 oz</t>
        </is>
      </c>
      <c r="I68" s="11" t="inlineStr">
        <is>
          <t>Danco</t>
        </is>
      </c>
      <c r="J68" s="11" t="inlineStr"/>
      <c r="K68" s="11" t="inlineStr">
        <is>
          <t>Amazon</t>
        </is>
      </c>
      <c r="L68" s="13" t="inlineStr">
        <is>
          <t>B000DZFUPC</t>
        </is>
      </c>
      <c r="M68" s="14" t="n">
        <v>5.68</v>
      </c>
      <c r="N68" s="14">
        <f>IF(M68="","",G68*M68)</f>
        <v/>
      </c>
      <c r="O68" s="11" t="inlineStr">
        <is>
          <t>For the head's four throttle O-rings (grease them lightly before fitting)</t>
        </is>
      </c>
      <c r="P68" s="11" t="inlineStr">
        <is>
          <t>Head/Rev4/README.md; Amazon listing 2026-10-23</t>
        </is>
      </c>
    </row>
    <row r="69">
      <c r="A69" s="10" t="n">
        <v>49</v>
      </c>
      <c r="B69" s="11" t="inlineStr">
        <is>
          <t>Assembly</t>
        </is>
      </c>
      <c r="C69" s="10" t="n">
        <v>1</v>
      </c>
      <c r="D69" s="10" t="inlineStr">
        <is>
          <t>once</t>
        </is>
      </c>
      <c r="E69" s="10">
        <f>IF($C$3&gt;0,C69,0)</f>
        <v/>
      </c>
      <c r="F69" s="12" t="n">
        <v>1</v>
      </c>
      <c r="G69" s="10">
        <f>MAX(0,E69-F69)</f>
        <v/>
      </c>
      <c r="H69" s="11" t="inlineStr">
        <is>
          <t>Solder paste, low-temperature (Sn42/Bi58, 138 C), syringe</t>
        </is>
      </c>
      <c r="I69" s="11" t="inlineStr">
        <is>
          <t>Chip Quik</t>
        </is>
      </c>
      <c r="J69" s="11" t="inlineStr">
        <is>
          <t>NC191LT10</t>
        </is>
      </c>
      <c r="K69" s="11" t="inlineStr">
        <is>
          <t>Digi-Key</t>
        </is>
      </c>
      <c r="L69" s="13" t="inlineStr">
        <is>
          <t>315-NC191LT10-ND</t>
        </is>
      </c>
      <c r="M69" s="14" t="n">
        <v>7.95</v>
      </c>
      <c r="N69" s="14">
        <f>IF(M69="","",G69*M69)</f>
        <v/>
      </c>
      <c r="O69" s="11" t="inlineStr">
        <is>
          <t>For the SMD parts on the board (U1, U2, the 1206 caps, the JST headers, SW1-SW3). Needs a hot plate or hot air tool and flux. Optional: hand-soldering works too</t>
        </is>
      </c>
      <c r="P69" s="11" t="inlineStr">
        <is>
          <t>Digi-Key cart 2026-10-23</t>
        </is>
      </c>
    </row>
    <row r="70">
      <c r="A70" s="10" t="n">
        <v>50</v>
      </c>
      <c r="B70" s="11" t="inlineStr">
        <is>
          <t>Assembly</t>
        </is>
      </c>
      <c r="C70" s="10" t="n">
        <v>1</v>
      </c>
      <c r="D70" s="10" t="inlineStr">
        <is>
          <t>once</t>
        </is>
      </c>
      <c r="E70" s="10">
        <f>IF($C$3&gt;0,C70,0)</f>
        <v/>
      </c>
      <c r="F70" s="12" t="n">
        <v>1</v>
      </c>
      <c r="G70" s="10">
        <f>MAX(0,E70-F70)</f>
        <v/>
      </c>
      <c r="H70" s="11" t="inlineStr">
        <is>
          <t>Tweezers, 1 mm tip (Olimex CHN-TWZ1MM), for placing the SMD parts</t>
        </is>
      </c>
      <c r="I70" s="11" t="inlineStr">
        <is>
          <t>Olimex</t>
        </is>
      </c>
      <c r="J70" s="11" t="inlineStr">
        <is>
          <t>CHN-TWZ1MM</t>
        </is>
      </c>
      <c r="K70" s="11" t="inlineStr">
        <is>
          <t>Digi-Key</t>
        </is>
      </c>
      <c r="L70" s="13" t="inlineStr">
        <is>
          <t>1188-CHN-TWZ1MM-ND</t>
        </is>
      </c>
      <c r="M70" s="14" t="n">
        <v>0.82</v>
      </c>
      <c r="N70" s="14">
        <f>IF(M70="","",G70*M70)</f>
        <v/>
      </c>
      <c r="O70" s="11" t="inlineStr">
        <is>
          <t>Description from Olimex's sibling CHN-TWZ2MM listing: check the tip</t>
        </is>
      </c>
      <c r="P70" s="11" t="inlineStr">
        <is>
          <t>Digi-Key order 102438510</t>
        </is>
      </c>
    </row>
    <row r="71">
      <c r="M71" s="3" t="inlineStr">
        <is>
          <t>Subtotal</t>
        </is>
      </c>
      <c r="N71" s="15">
        <f>SUM(N65:N70)</f>
        <v/>
      </c>
    </row>
    <row r="73">
      <c r="M73" s="3" t="inlineStr">
        <is>
          <t>Still to buy</t>
        </is>
      </c>
      <c r="N73" s="15">
        <f>N16+N20+N26+N29+N36+N48+N63+N71</f>
        <v/>
      </c>
    </row>
    <row r="74">
      <c r="M74" s="3" t="inlineStr">
        <is>
          <t>Whole build</t>
        </is>
      </c>
      <c r="N74" s="15">
        <f>SUMPRODUCT(E6:E71,M6:M71)</f>
        <v/>
      </c>
    </row>
    <row r="75">
      <c r="M75" s="3" t="inlineStr">
        <is>
          <t>Unpriced lines</t>
        </is>
      </c>
      <c r="N75" s="3">
        <f>COUNTIFS(A6:A71,"&gt;0",M6:M71,"")</f>
        <v/>
      </c>
    </row>
    <row r="76">
      <c r="A76" s="5" t="inlineStr">
        <is>
          <t>Still to buy counts the packs to order; whole build counts every pack needed, bought or not. Both leave out the unpriced lines: generic hardware and wire.</t>
        </is>
      </c>
    </row>
  </sheetData>
  <mergeCells count="12">
    <mergeCell ref="A49:P49"/>
    <mergeCell ref="A76:P76"/>
    <mergeCell ref="A17:P17"/>
    <mergeCell ref="A37:P37"/>
    <mergeCell ref="A27:P27"/>
    <mergeCell ref="A6:P6"/>
    <mergeCell ref="D3:P3"/>
    <mergeCell ref="A30:P30"/>
    <mergeCell ref="A21:P21"/>
    <mergeCell ref="A64:P64"/>
    <mergeCell ref="A3:B3"/>
    <mergeCell ref="A2:P2"/>
  </mergeCells>
  <hyperlinks>
    <hyperlink xmlns:r="http://schemas.openxmlformats.org/officeDocument/2006/relationships" ref="L7" r:id="rId1"/>
    <hyperlink xmlns:r="http://schemas.openxmlformats.org/officeDocument/2006/relationships" ref="L8" r:id="rId2"/>
    <hyperlink xmlns:r="http://schemas.openxmlformats.org/officeDocument/2006/relationships" ref="L9" r:id="rId3"/>
    <hyperlink xmlns:r="http://schemas.openxmlformats.org/officeDocument/2006/relationships" ref="L10" r:id="rId4"/>
    <hyperlink xmlns:r="http://schemas.openxmlformats.org/officeDocument/2006/relationships" ref="L11" r:id="rId5"/>
    <hyperlink xmlns:r="http://schemas.openxmlformats.org/officeDocument/2006/relationships" ref="L12" r:id="rId6"/>
    <hyperlink xmlns:r="http://schemas.openxmlformats.org/officeDocument/2006/relationships" ref="L13" r:id="rId7"/>
    <hyperlink xmlns:r="http://schemas.openxmlformats.org/officeDocument/2006/relationships" ref="L14" r:id="rId8"/>
    <hyperlink xmlns:r="http://schemas.openxmlformats.org/officeDocument/2006/relationships" ref="L15" r:id="rId9"/>
    <hyperlink xmlns:r="http://schemas.openxmlformats.org/officeDocument/2006/relationships" ref="L18" r:id="rId10"/>
    <hyperlink xmlns:r="http://schemas.openxmlformats.org/officeDocument/2006/relationships" ref="L19" r:id="rId11"/>
    <hyperlink xmlns:r="http://schemas.openxmlformats.org/officeDocument/2006/relationships" ref="L22" r:id="rId12"/>
    <hyperlink xmlns:r="http://schemas.openxmlformats.org/officeDocument/2006/relationships" ref="L23" r:id="rId13"/>
    <hyperlink xmlns:r="http://schemas.openxmlformats.org/officeDocument/2006/relationships" ref="L24" r:id="rId14"/>
    <hyperlink xmlns:r="http://schemas.openxmlformats.org/officeDocument/2006/relationships" ref="L25" r:id="rId15"/>
    <hyperlink xmlns:r="http://schemas.openxmlformats.org/officeDocument/2006/relationships" ref="L28" r:id="rId16"/>
    <hyperlink xmlns:r="http://schemas.openxmlformats.org/officeDocument/2006/relationships" ref="L31" r:id="rId17"/>
    <hyperlink xmlns:r="http://schemas.openxmlformats.org/officeDocument/2006/relationships" ref="L32" r:id="rId18"/>
    <hyperlink xmlns:r="http://schemas.openxmlformats.org/officeDocument/2006/relationships" ref="L33" r:id="rId19"/>
    <hyperlink xmlns:r="http://schemas.openxmlformats.org/officeDocument/2006/relationships" ref="L34" r:id="rId20"/>
    <hyperlink xmlns:r="http://schemas.openxmlformats.org/officeDocument/2006/relationships" ref="L35" r:id="rId21"/>
    <hyperlink xmlns:r="http://schemas.openxmlformats.org/officeDocument/2006/relationships" ref="L38" r:id="rId22"/>
    <hyperlink xmlns:r="http://schemas.openxmlformats.org/officeDocument/2006/relationships" ref="L39" r:id="rId23"/>
    <hyperlink xmlns:r="http://schemas.openxmlformats.org/officeDocument/2006/relationships" ref="L40" r:id="rId24"/>
    <hyperlink xmlns:r="http://schemas.openxmlformats.org/officeDocument/2006/relationships" ref="L41" r:id="rId25"/>
    <hyperlink xmlns:r="http://schemas.openxmlformats.org/officeDocument/2006/relationships" ref="L42" r:id="rId26"/>
    <hyperlink xmlns:r="http://schemas.openxmlformats.org/officeDocument/2006/relationships" ref="L43" r:id="rId27"/>
    <hyperlink xmlns:r="http://schemas.openxmlformats.org/officeDocument/2006/relationships" ref="L44" r:id="rId28"/>
    <hyperlink xmlns:r="http://schemas.openxmlformats.org/officeDocument/2006/relationships" ref="L45" r:id="rId29"/>
    <hyperlink xmlns:r="http://schemas.openxmlformats.org/officeDocument/2006/relationships" ref="L46" r:id="rId30"/>
    <hyperlink xmlns:r="http://schemas.openxmlformats.org/officeDocument/2006/relationships" ref="L47" r:id="rId31"/>
    <hyperlink xmlns:r="http://schemas.openxmlformats.org/officeDocument/2006/relationships" ref="L50" r:id="rId32"/>
    <hyperlink xmlns:r="http://schemas.openxmlformats.org/officeDocument/2006/relationships" ref="L51" r:id="rId33"/>
    <hyperlink xmlns:r="http://schemas.openxmlformats.org/officeDocument/2006/relationships" ref="L52" r:id="rId34"/>
    <hyperlink xmlns:r="http://schemas.openxmlformats.org/officeDocument/2006/relationships" ref="L53" r:id="rId35"/>
    <hyperlink xmlns:r="http://schemas.openxmlformats.org/officeDocument/2006/relationships" ref="L54" r:id="rId36"/>
    <hyperlink xmlns:r="http://schemas.openxmlformats.org/officeDocument/2006/relationships" ref="L55" r:id="rId37"/>
    <hyperlink xmlns:r="http://schemas.openxmlformats.org/officeDocument/2006/relationships" ref="L56" r:id="rId38"/>
    <hyperlink xmlns:r="http://schemas.openxmlformats.org/officeDocument/2006/relationships" ref="L57" r:id="rId39"/>
    <hyperlink xmlns:r="http://schemas.openxmlformats.org/officeDocument/2006/relationships" ref="L58" r:id="rId40"/>
    <hyperlink xmlns:r="http://schemas.openxmlformats.org/officeDocument/2006/relationships" ref="L59" r:id="rId41"/>
    <hyperlink xmlns:r="http://schemas.openxmlformats.org/officeDocument/2006/relationships" ref="L60" r:id="rId42"/>
    <hyperlink xmlns:r="http://schemas.openxmlformats.org/officeDocument/2006/relationships" ref="L61" r:id="rId43"/>
    <hyperlink xmlns:r="http://schemas.openxmlformats.org/officeDocument/2006/relationships" ref="L62" r:id="rId44"/>
    <hyperlink xmlns:r="http://schemas.openxmlformats.org/officeDocument/2006/relationships" ref="L65" r:id="rId45"/>
    <hyperlink xmlns:r="http://schemas.openxmlformats.org/officeDocument/2006/relationships" ref="L66" r:id="rId46"/>
    <hyperlink xmlns:r="http://schemas.openxmlformats.org/officeDocument/2006/relationships" ref="L67" r:id="rId47"/>
    <hyperlink xmlns:r="http://schemas.openxmlformats.org/officeDocument/2006/relationships" ref="L68" r:id="rId48"/>
    <hyperlink xmlns:r="http://schemas.openxmlformats.org/officeDocument/2006/relationships" ref="L69" r:id="rId49"/>
    <hyperlink xmlns:r="http://schemas.openxmlformats.org/officeDocument/2006/relationships" ref="L70" r:id="rId50"/>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27"/>
  <sheetViews>
    <sheetView workbookViewId="0">
      <pane ySplit="4" topLeftCell="A5" activePane="bottomLeft" state="frozen"/>
      <selection pane="bottomLeft" activeCell="A1" sqref="A1"/>
    </sheetView>
  </sheetViews>
  <sheetFormatPr baseColWidth="8" defaultRowHeight="15"/>
  <cols>
    <col width="4" customWidth="1" min="1" max="1"/>
    <col width="25" customWidth="1" min="2" max="2"/>
    <col width="9" customWidth="1" min="3" max="3"/>
    <col width="20" customWidth="1" min="4" max="4"/>
    <col width="40" customWidth="1" min="5" max="5"/>
    <col width="16" customWidth="1" min="6" max="6"/>
    <col width="10" customWidth="1" min="7" max="7"/>
    <col width="10" customWidth="1" min="8" max="8"/>
    <col width="50" customWidth="1" min="9" max="9"/>
  </cols>
  <sheetData>
    <row r="1">
      <c r="A1" s="1" t="inlineStr">
        <is>
          <t>Heli Collective - Digi-Key order</t>
        </is>
      </c>
    </row>
    <row r="2" ht="44" customHeight="1">
      <c r="A2" s="2" t="inlineStr">
        <is>
          <t>Every line to buy from Digi-Key. Quantities come from the Final BOM's Packs to order, so they follow the collectives to build and anything marked as bought. Heli_Collective_DigiKey.csv holds the same order for one collective (part number, quantity, customer reference), for Digi-Key's cart or BOM upload.</t>
        </is>
      </c>
    </row>
    <row r="4" ht="30" customHeight="1">
      <c r="A4" s="6" t="inlineStr">
        <is>
          <t>#</t>
        </is>
      </c>
      <c r="B4" s="6" t="inlineStr">
        <is>
          <t>Digi-Key part number</t>
        </is>
      </c>
      <c r="C4" s="6" t="inlineStr">
        <is>
          <t>Quantity</t>
        </is>
      </c>
      <c r="D4" s="6" t="inlineStr">
        <is>
          <t>Mfr part number</t>
        </is>
      </c>
      <c r="E4" s="6" t="inlineStr">
        <is>
          <t>Description</t>
        </is>
      </c>
      <c r="F4" s="6" t="inlineStr">
        <is>
          <t>Customer reference</t>
        </is>
      </c>
      <c r="G4" s="6" t="inlineStr">
        <is>
          <t>Unit price</t>
        </is>
      </c>
      <c r="H4" s="6" t="inlineStr">
        <is>
          <t>Ext. price</t>
        </is>
      </c>
      <c r="I4" s="6" t="inlineStr">
        <is>
          <t>Notes</t>
        </is>
      </c>
    </row>
    <row r="5">
      <c r="A5" s="26" t="n">
        <v>1</v>
      </c>
      <c r="B5" s="29" t="inlineStr">
        <is>
          <t>296-8250-1-ND</t>
        </is>
      </c>
      <c r="C5" s="26">
        <f>'Final BOM'!G7</f>
        <v/>
      </c>
      <c r="D5" s="27" t="inlineStr">
        <is>
          <t>SN74HC165DR</t>
        </is>
      </c>
      <c r="E5" s="27" t="inlineStr">
        <is>
          <t>Shift register, 74HC165, SOIC-16</t>
        </is>
      </c>
      <c r="F5" s="27" t="inlineStr">
        <is>
          <t>U1, U2</t>
        </is>
      </c>
      <c r="G5" s="30">
        <f>'Final BOM'!M7</f>
        <v/>
      </c>
      <c r="H5" s="30">
        <f>IF('Final BOM'!M7="","",C5*G5)</f>
        <v/>
      </c>
      <c r="I5" s="27" t="inlineStr">
        <is>
          <t>Under the Pro Micro: fit before the sockets</t>
        </is>
      </c>
    </row>
    <row r="6">
      <c r="A6" s="26" t="n">
        <v>2</v>
      </c>
      <c r="B6" s="29" t="inlineStr">
        <is>
          <t>4609X-101-103LF-ND</t>
        </is>
      </c>
      <c r="C6" s="26">
        <f>'Final BOM'!G8</f>
        <v/>
      </c>
      <c r="D6" s="27" t="inlineStr">
        <is>
          <t>4609X-101-103LF</t>
        </is>
      </c>
      <c r="E6" s="27" t="inlineStr">
        <is>
          <t>Resistor network, 8 x 10 kOhm bussed, SIP-9</t>
        </is>
      </c>
      <c r="F6" s="27" t="inlineStr">
        <is>
          <t>RN1, RN2</t>
        </is>
      </c>
      <c r="G6" s="30">
        <f>'Final BOM'!M8</f>
        <v/>
      </c>
      <c r="H6" s="30">
        <f>IF('Final BOM'!M8="","",C6*G6)</f>
        <v/>
      </c>
      <c r="I6" s="27" t="inlineStr">
        <is>
          <t>Pin 1 (dot) is the common pin: it goes in the square pad. Keep upright</t>
        </is>
      </c>
    </row>
    <row r="7">
      <c r="A7" s="26" t="n">
        <v>3</v>
      </c>
      <c r="B7" s="29" t="inlineStr">
        <is>
          <t>1276-1017-1-ND</t>
        </is>
      </c>
      <c r="C7" s="26">
        <f>'Final BOM'!G9</f>
        <v/>
      </c>
      <c r="D7" s="27" t="inlineStr">
        <is>
          <t>CL31B104KBCNNNC</t>
        </is>
      </c>
      <c r="E7" s="27" t="inlineStr">
        <is>
          <t>Capacitor, 100 nF, 50 V, X7R, 1206</t>
        </is>
      </c>
      <c r="F7" s="27" t="inlineStr">
        <is>
          <t>C1, C2</t>
        </is>
      </c>
      <c r="G7" s="30">
        <f>'Final BOM'!M9</f>
        <v/>
      </c>
      <c r="H7" s="30">
        <f>IF('Final BOM'!M9="","",C7*G7)</f>
        <v/>
      </c>
      <c r="I7" s="27" t="inlineStr">
        <is>
          <t>Decoupling: C1 beside U1's VCC pin, C2 beside U2's</t>
        </is>
      </c>
    </row>
    <row r="8">
      <c r="A8" s="26" t="n">
        <v>4</v>
      </c>
      <c r="B8" s="29" t="inlineStr">
        <is>
          <t>1276-1287-1-ND</t>
        </is>
      </c>
      <c r="C8" s="26">
        <f>'Final BOM'!G10</f>
        <v/>
      </c>
      <c r="D8" s="27" t="inlineStr">
        <is>
          <t>CL31A226KPHNNNE</t>
        </is>
      </c>
      <c r="E8" s="27" t="inlineStr">
        <is>
          <t>Capacitor, 22 uF, 10 V, X5R, 1206</t>
        </is>
      </c>
      <c r="F8" s="27" t="inlineStr">
        <is>
          <t>C3</t>
        </is>
      </c>
      <c r="G8" s="30">
        <f>'Final BOM'!M10</f>
        <v/>
      </c>
      <c r="H8" s="30">
        <f>IF('Final BOM'!M10="","",C8*G8)</f>
        <v/>
      </c>
      <c r="I8" s="27" t="inlineStr">
        <is>
          <t>Bulk supply capacitor, between U1 and U2</t>
        </is>
      </c>
    </row>
    <row r="9">
      <c r="A9" s="26" t="n">
        <v>5</v>
      </c>
      <c r="B9" s="29" t="inlineStr">
        <is>
          <t>311-1.00KCRCT-ND</t>
        </is>
      </c>
      <c r="C9" s="26">
        <f>'Final BOM'!G11</f>
        <v/>
      </c>
      <c r="D9" s="27" t="inlineStr">
        <is>
          <t>RC0805FR-071KL</t>
        </is>
      </c>
      <c r="E9" s="27" t="inlineStr">
        <is>
          <t>Resistor, 1 kOhm, 1 %, 1/8 W, 0805</t>
        </is>
      </c>
      <c r="F9" s="27" t="inlineStr">
        <is>
          <t>R1, R2</t>
        </is>
      </c>
      <c r="G9" s="30">
        <f>'Final BOM'!M11</f>
        <v/>
      </c>
      <c r="H9" s="30">
        <f>IF('Final BOM'!M11="","",C9*G9)</f>
        <v/>
      </c>
      <c r="I9" s="27" t="inlineStr">
        <is>
          <t>In series with PROG1 (R1) and PROG4 (R2)</t>
        </is>
      </c>
    </row>
    <row r="10">
      <c r="A10" s="26" t="n">
        <v>6</v>
      </c>
      <c r="B10" s="29" t="inlineStr">
        <is>
          <t>EG4344CT-ND</t>
        </is>
      </c>
      <c r="C10" s="26">
        <f>'Final BOM'!G12</f>
        <v/>
      </c>
      <c r="D10" s="27" t="inlineStr">
        <is>
          <t>TL1015AF160QG</t>
        </is>
      </c>
      <c r="E10" s="27" t="inlineStr">
        <is>
          <t>Tactile switch, SMD, 3.9 x 2.9 mm, gull wing</t>
        </is>
      </c>
      <c r="F10" s="27" t="inlineStr">
        <is>
          <t>SW1-SW3</t>
        </is>
      </c>
      <c r="G10" s="30">
        <f>'Final BOM'!M12</f>
        <v/>
      </c>
      <c r="H10" s="30">
        <f>IF('Final BOM'!M12="","",C10*G10)</f>
        <v/>
      </c>
      <c r="I10" s="27" t="inlineStr">
        <is>
          <t>SW1 RST, SW2 PROG1 (AX1), SW3 PROG4 (AX4). The four ground tabs are left unsoldered</t>
        </is>
      </c>
    </row>
    <row r="11">
      <c r="A11" s="26" t="n">
        <v>7</v>
      </c>
      <c r="B11" s="29" t="inlineStr">
        <is>
          <t>455-BM10B-SRSS-TBTCT-ND</t>
        </is>
      </c>
      <c r="C11" s="26">
        <f>'Final BOM'!G13</f>
        <v/>
      </c>
      <c r="D11" s="27" t="inlineStr">
        <is>
          <t>BM10B-SRSS-TBT</t>
        </is>
      </c>
      <c r="E11" s="27" t="inlineStr">
        <is>
          <t>JST SR/SH header, 10-pin, 1.0 mm, SMD, top entry</t>
        </is>
      </c>
      <c r="F11" s="27" t="inlineStr">
        <is>
          <t>J1, J2</t>
        </is>
      </c>
      <c r="G11" s="30">
        <f>'Final BOM'!M13</f>
        <v/>
      </c>
      <c r="H11" s="30">
        <f>IF('Final BOM'!M13="","",C11*G11)</f>
        <v/>
      </c>
      <c r="I11" s="27" t="inlineStr">
        <is>
          <t>Switch inputs: J1 IN1-IN8, J2 IN9-IN16. Digi-Key estimates $0.33 tariff each on top</t>
        </is>
      </c>
    </row>
    <row r="12">
      <c r="A12" s="26" t="n">
        <v>8</v>
      </c>
      <c r="B12" s="29" t="inlineStr">
        <is>
          <t>455-BM03B-SRSS-TBTCT-ND</t>
        </is>
      </c>
      <c r="C12" s="26">
        <f>'Final BOM'!G14</f>
        <v/>
      </c>
      <c r="D12" s="27" t="inlineStr">
        <is>
          <t>BM03B-SRSS-TBT</t>
        </is>
      </c>
      <c r="E12" s="27" t="inlineStr">
        <is>
          <t>JST SR/SH header, 3-pin, 1.0 mm, SMD, top entry</t>
        </is>
      </c>
      <c r="F12" s="27" t="inlineStr">
        <is>
          <t>J11-J14</t>
        </is>
      </c>
      <c r="G12" s="30">
        <f>'Final BOM'!M14</f>
        <v/>
      </c>
      <c r="H12" s="30">
        <f>IF('Final BOM'!M14="","",C12*G12)</f>
        <v/>
      </c>
      <c r="I12" s="27" t="inlineStr">
        <is>
          <t>Analog inputs AX1-AX4 (J11-J14). Digi-Key estimates $0.26 tariff each on top. Fit all four, or only the inputs you use</t>
        </is>
      </c>
    </row>
    <row r="13">
      <c r="A13" s="26" t="n">
        <v>9</v>
      </c>
      <c r="B13" s="29" t="inlineStr">
        <is>
          <t>S6100-ND</t>
        </is>
      </c>
      <c r="C13" s="26">
        <f>'Final BOM'!G15</f>
        <v/>
      </c>
      <c r="D13" s="27" t="inlineStr">
        <is>
          <t>PPTC121LFBN-RC</t>
        </is>
      </c>
      <c r="E13" s="27" t="inlineStr">
        <is>
          <t>Socket header, female, 1x12, 2.54 mm, through hole</t>
        </is>
      </c>
      <c r="F13" s="27" t="inlineStr">
        <is>
          <t>J7, J8</t>
        </is>
      </c>
      <c r="G13" s="30">
        <f>'Final BOM'!M15</f>
        <v/>
      </c>
      <c r="H13" s="30">
        <f>IF('Final BOM'!M15="","",C13*G13)</f>
        <v/>
      </c>
      <c r="I13" s="27" t="inlineStr">
        <is>
          <t>Pro Micro sockets. Fit last</t>
        </is>
      </c>
    </row>
    <row r="14">
      <c r="A14" s="26" t="n">
        <v>10</v>
      </c>
      <c r="B14" s="29" t="inlineStr">
        <is>
          <t>455-3671-ND</t>
        </is>
      </c>
      <c r="C14" s="26">
        <f>'Final BOM'!G22</f>
        <v/>
      </c>
      <c r="D14" s="27" t="inlineStr">
        <is>
          <t>A10SR10SR30K254A</t>
        </is>
      </c>
      <c r="E14" s="27" t="inlineStr">
        <is>
          <t>JST SR jumper, 10-pin, 10 in, 30 AWG, pin 1 to pin 1</t>
        </is>
      </c>
      <c r="F14" s="27" t="inlineStr">
        <is>
          <t>J1, J2</t>
        </is>
      </c>
      <c r="G14" s="30">
        <f>'Final BOM'!M22</f>
        <v/>
      </c>
      <c r="H14" s="30">
        <f>IF('Final BOM'!M22="","",C14*G14)</f>
        <v/>
      </c>
      <c r="I14" s="27" t="inlineStr">
        <is>
          <t>Switch loom. The jumper has a connector at each end: cut it in half for the two board-end pigtails (J1 and J2). Price from Digi-Key, 2026-10-22</t>
        </is>
      </c>
    </row>
    <row r="15">
      <c r="A15" s="26" t="n">
        <v>11</v>
      </c>
      <c r="B15" s="29" t="inlineStr">
        <is>
          <t>455-3627-ND</t>
        </is>
      </c>
      <c r="C15" s="26">
        <f>'Final BOM'!G23</f>
        <v/>
      </c>
      <c r="D15" s="27" t="inlineStr">
        <is>
          <t>A03SR03SR30K203A</t>
        </is>
      </c>
      <c r="E15" s="27" t="inlineStr">
        <is>
          <t>JST SR jumper, 3-pin, 8 in, 30 AWG, pin 1 to pin 1</t>
        </is>
      </c>
      <c r="F15" s="27" t="inlineStr">
        <is>
          <t>J11, J14</t>
        </is>
      </c>
      <c r="G15" s="30">
        <f>'Final BOM'!M23</f>
        <v/>
      </c>
      <c r="H15" s="30">
        <f>IF('Final BOM'!M23="","",C15*G15)</f>
        <v/>
      </c>
      <c r="I15" s="27" t="inlineStr">
        <is>
          <t>AX1 (collective sensor) and AX4 (throttle sensor); AX2 and AX3 are spare. Price from Digi-Key, 2026-10-22</t>
        </is>
      </c>
    </row>
    <row r="16">
      <c r="A16" s="26" t="n">
        <v>12</v>
      </c>
      <c r="B16" s="29" t="inlineStr">
        <is>
          <t>839-30-01653-DS-ND</t>
        </is>
      </c>
      <c r="C16" s="26">
        <f>'Final BOM'!G24</f>
        <v/>
      </c>
      <c r="D16" s="27" t="inlineStr">
        <is>
          <t>30-01653</t>
        </is>
      </c>
      <c r="E16" s="27" t="inlineStr">
        <is>
          <t>3-core cable, 28 AWG, black, 1 m (Digi-Key cut length)</t>
        </is>
      </c>
      <c r="F16" s="27" t="inlineStr">
        <is>
          <t>AX1 lead</t>
        </is>
      </c>
      <c r="G16" s="30">
        <f>'Final BOM'!M24</f>
        <v/>
      </c>
      <c r="H16" s="30">
        <f>IF('Final BOM'!M24="","",C16*G16)</f>
        <v/>
      </c>
      <c r="I16" s="27" t="inlineStr">
        <is>
          <t>Collective sensor lead: from the AS5600 in the base, through the lever's cable channels and up the 470 mm tube, spliced to an AX1 pigtail. Length is an estimate: measure your run; Digi-Key sells it by the metre</t>
        </is>
      </c>
    </row>
    <row r="17">
      <c r="A17" s="26" t="n">
        <v>13</v>
      </c>
      <c r="B17" s="29" t="inlineStr">
        <is>
          <t>380-SC-2CAK020M-ND</t>
        </is>
      </c>
      <c r="C17" s="26">
        <f>'Final BOM'!G25</f>
        <v/>
      </c>
      <c r="D17" s="27" t="inlineStr">
        <is>
          <t>SC-2CAK020M</t>
        </is>
      </c>
      <c r="E17" s="27" t="inlineStr">
        <is>
          <t>USB 2.0 cable, USB-A plug to USB-C plug, 2 m (6.56 ft)</t>
        </is>
      </c>
      <c r="F17" s="27" t="inlineStr">
        <is>
          <t>USB</t>
        </is>
      </c>
      <c r="G17" s="30">
        <f>'Final BOM'!M25</f>
        <v/>
      </c>
      <c r="H17" s="30">
        <f>IF('Final BOM'!M25="","",C17*G17)</f>
        <v/>
      </c>
      <c r="I17" s="27" t="inlineStr">
        <is>
          <t>Cut it about 15 cm from the USB-C plug. Feed the long piece (USB-A end stays at the PC) through the device: laid in the lever's open channels, up the tube and in through the head. The cable cover's spout is a plain 7.5 mm bore. Splice the USB-C stub back on inside the head (red, black, green, white) and leave the shield wire unconnected. The cut costs about 15 cm of the 2 m: check the run still reaches. The head's clearances were checked with a micro-USB plug: check the C plug fits the same way</t>
        </is>
      </c>
    </row>
    <row r="18">
      <c r="A18" s="26" t="n">
        <v>14</v>
      </c>
      <c r="B18" s="29" t="inlineStr">
        <is>
          <t>679-1223-ND</t>
        </is>
      </c>
      <c r="C18" s="26">
        <f>'Final BOM'!G31</f>
        <v/>
      </c>
      <c r="D18" s="27" t="inlineStr">
        <is>
          <t>639H/2</t>
        </is>
      </c>
      <c r="E18" s="27" t="inlineStr">
        <is>
          <t>Toggle switch, SPDT, ON-OFF-ON, M12 bushing, solder lug</t>
        </is>
      </c>
      <c r="F18" s="27" t="inlineStr">
        <is>
          <t>IN3-IN6</t>
        </is>
      </c>
      <c r="G18" s="30">
        <f>'Final BOM'!M31</f>
        <v/>
      </c>
      <c r="H18" s="30">
        <f>IF('Final BOM'!M31="","",C18*G18)</f>
        <v/>
      </c>
      <c r="I18" s="27" t="inlineStr">
        <is>
          <t>LDG LT EXT / RETR and SL ON / STOW. Common to GND. Price from Digi-Key, 2026-10-22</t>
        </is>
      </c>
    </row>
    <row r="19">
      <c r="A19" s="26" t="n">
        <v>15</v>
      </c>
      <c r="B19" s="29" t="inlineStr">
        <is>
          <t>679-1219-ND</t>
        </is>
      </c>
      <c r="C19" s="26">
        <f>'Final BOM'!G32</f>
        <v/>
      </c>
      <c r="D19" s="27" t="inlineStr">
        <is>
          <t>637H/2</t>
        </is>
      </c>
      <c r="E19" s="27" t="inlineStr">
        <is>
          <t>Toggle switch, SPDT, (ON)-OFF-(ON), M12 bushing, solder lug</t>
        </is>
      </c>
      <c r="F19" s="27" t="inlineStr">
        <is>
          <t>IN1, IN2</t>
        </is>
      </c>
      <c r="G19" s="30">
        <f>'Final BOM'!M32</f>
        <v/>
      </c>
      <c r="H19" s="30">
        <f>IF('Final BOM'!M32="","",C19*G19)</f>
        <v/>
      </c>
      <c r="I19" s="27" t="inlineStr">
        <is>
          <t>GOV RPM INCR / DECR. Price from Digi-Key, 2026-10-22</t>
        </is>
      </c>
    </row>
    <row r="20">
      <c r="A20" s="26" t="n">
        <v>16</v>
      </c>
      <c r="B20" s="29" t="inlineStr">
        <is>
          <t>679-1217-ND</t>
        </is>
      </c>
      <c r="C20" s="26">
        <f>'Final BOM'!G33</f>
        <v/>
      </c>
      <c r="D20" s="27" t="inlineStr">
        <is>
          <t>636H/2</t>
        </is>
      </c>
      <c r="E20" s="27" t="inlineStr">
        <is>
          <t>Toggle switch, SPDT, ON-ON, M12 bushing, solder lug</t>
        </is>
      </c>
      <c r="F20" s="27" t="inlineStr">
        <is>
          <t>IN7</t>
        </is>
      </c>
      <c r="G20" s="30">
        <f>'Final BOM'!M33</f>
        <v/>
      </c>
      <c r="H20" s="30">
        <f>IF('Final BOM'!M33="","",C20*G20)</f>
        <v/>
      </c>
      <c r="I20" s="27" t="inlineStr">
        <is>
          <t>LDG LT ON (one side wired). Price from Digi-Key, 2026-10-22</t>
        </is>
      </c>
    </row>
    <row r="21">
      <c r="A21" s="26" t="n">
        <v>17</v>
      </c>
      <c r="B21" s="29" t="inlineStr">
        <is>
          <t>2223-PB4-M-BK-D-67-ND</t>
        </is>
      </c>
      <c r="C21" s="26">
        <f>'Final BOM'!G34</f>
        <v/>
      </c>
      <c r="D21" s="27" t="inlineStr">
        <is>
          <t>PB4-M-BK-D-67</t>
        </is>
      </c>
      <c r="E21" s="27" t="inlineStr">
        <is>
          <t>Push button, large, SPST-NO momentary, M12</t>
        </is>
      </c>
      <c r="F21" s="27" t="inlineStr">
        <is>
          <t>IN13</t>
        </is>
      </c>
      <c r="G21" s="30">
        <f>'Final BOM'!M34</f>
        <v/>
      </c>
      <c r="H21" s="30">
        <f>IF('Final BOM'!M34="","",C21*G21)</f>
        <v/>
      </c>
      <c r="I21" s="27" t="inlineStr">
        <is>
          <t>STOP REL</t>
        </is>
      </c>
    </row>
    <row r="22">
      <c r="A22" s="26" t="n">
        <v>18</v>
      </c>
      <c r="B22" s="29" t="inlineStr">
        <is>
          <t>450-1650-ND</t>
        </is>
      </c>
      <c r="C22" s="26">
        <f>'Final BOM'!G35</f>
        <v/>
      </c>
      <c r="D22" s="27" t="inlineStr">
        <is>
          <t>1825910-6</t>
        </is>
      </c>
      <c r="E22" s="27" t="inlineStr">
        <is>
          <t>Tactile switch, 6 x 6 mm, 5 mm high, THT</t>
        </is>
      </c>
      <c r="F22" s="27" t="inlineStr">
        <is>
          <t>IN9-IN12, IN14</t>
        </is>
      </c>
      <c r="G22" s="30">
        <f>'Final BOM'!M35</f>
        <v/>
      </c>
      <c r="H22" s="30">
        <f>IF('Final BOM'!M35="","",C22*G22)</f>
        <v/>
      </c>
      <c r="I22" s="27" t="inlineStr">
        <is>
          <t>SEARCH CONT hat (4) and starter trigger (1). IN8, IN15, IN16 are spare</t>
        </is>
      </c>
    </row>
    <row r="23">
      <c r="A23" s="26" t="n">
        <v>19</v>
      </c>
      <c r="B23" s="29" t="inlineStr">
        <is>
          <t>SRS-4-4MM-ND</t>
        </is>
      </c>
      <c r="C23" s="26">
        <f>'Final BOM'!G45</f>
        <v/>
      </c>
      <c r="D23" s="27" t="inlineStr">
        <is>
          <t>SRS-4-4MM</t>
        </is>
      </c>
      <c r="E23" s="27" t="inlineStr">
        <is>
          <t>Round spacer, unthreaded, for M3, 4 mm long, 6.4 mm OD, PVC, self-retaining</t>
        </is>
      </c>
      <c r="F23" s="27" t="inlineStr">
        <is>
          <t>HeliSR board</t>
        </is>
      </c>
      <c r="G23" s="30">
        <f>'Final BOM'!M45</f>
        <v/>
      </c>
      <c r="H23" s="30">
        <f>IF('Final BOM'!M45="","",C23*G23)</f>
        <v/>
      </c>
      <c r="I23" s="27" t="inlineStr">
        <is>
          <t>Between the rear wall and the board</t>
        </is>
      </c>
    </row>
    <row r="24">
      <c r="A24" s="26" t="n">
        <v>20</v>
      </c>
      <c r="B24" s="29" t="inlineStr">
        <is>
          <t>315-NC191LT10-ND</t>
        </is>
      </c>
      <c r="C24" s="26">
        <f>'Final BOM'!G69</f>
        <v/>
      </c>
      <c r="D24" s="27" t="inlineStr">
        <is>
          <t>NC191LT10</t>
        </is>
      </c>
      <c r="E24" s="27" t="inlineStr">
        <is>
          <t>Solder paste, low-temperature (Sn42/Bi58, 138 C), syringe</t>
        </is>
      </c>
      <c r="F24" s="27" t="inlineStr">
        <is>
          <t>Assembly</t>
        </is>
      </c>
      <c r="G24" s="30">
        <f>'Final BOM'!M69</f>
        <v/>
      </c>
      <c r="H24" s="30">
        <f>IF('Final BOM'!M69="","",C24*G24)</f>
        <v/>
      </c>
      <c r="I24" s="27" t="inlineStr">
        <is>
          <t>For the SMD parts on the board (U1, U2, the 1206 caps, the JST headers, SW1-SW3). Needs a hot plate or hot air tool and flux. Optional: hand-soldering works too</t>
        </is>
      </c>
    </row>
    <row r="25">
      <c r="A25" s="26" t="n">
        <v>21</v>
      </c>
      <c r="B25" s="29" t="inlineStr">
        <is>
          <t>1188-CHN-TWZ1MM-ND</t>
        </is>
      </c>
      <c r="C25" s="26">
        <f>'Final BOM'!G70</f>
        <v/>
      </c>
      <c r="D25" s="27" t="inlineStr">
        <is>
          <t>CHN-TWZ1MM</t>
        </is>
      </c>
      <c r="E25" s="27" t="inlineStr">
        <is>
          <t>Tweezers, 1 mm tip (Olimex CHN-TWZ1MM), for placing the SMD parts</t>
        </is>
      </c>
      <c r="F25" s="27" t="inlineStr">
        <is>
          <t>Assembly</t>
        </is>
      </c>
      <c r="G25" s="30">
        <f>'Final BOM'!M70</f>
        <v/>
      </c>
      <c r="H25" s="30">
        <f>IF('Final BOM'!M70="","",C25*G25)</f>
        <v/>
      </c>
      <c r="I25" s="27" t="inlineStr">
        <is>
          <t>Description from Olimex's sibling CHN-TWZ2MM listing: check the tip</t>
        </is>
      </c>
    </row>
    <row r="26">
      <c r="G26" s="3" t="inlineStr">
        <is>
          <t>Total</t>
        </is>
      </c>
      <c r="H26" s="15">
        <f>SUM(H5:H25)</f>
        <v/>
      </c>
    </row>
    <row r="27">
      <c r="A27" s="5" t="inlineStr">
        <is>
          <t>All 21 Digi-Key lines are priced (checked 2026-10-23), before shipping and tariff.</t>
        </is>
      </c>
    </row>
  </sheetData>
  <mergeCells count="2">
    <mergeCell ref="A27:I27"/>
    <mergeCell ref="A2:I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28"/>
  <sheetViews>
    <sheetView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6" customWidth="1" min="4" max="4"/>
    <col width="70" customWidth="1" min="5" max="5"/>
  </cols>
  <sheetData>
    <row r="1">
      <c r="A1" s="1" t="inlineStr">
        <is>
          <t>Heli Collective - printed parts</t>
        </is>
      </c>
    </row>
    <row r="2" ht="44" customHeight="1">
      <c r="A2" s="2" t="inlineStr">
        <is>
          <t>The print set for the Huey head and the MkIII base Rev 3, with the orientation each README gives. Print the coupons first. Paths are from the repository root.</t>
        </is>
      </c>
    </row>
    <row r="4" ht="30" customHeight="1">
      <c r="A4" s="6" t="inlineStr">
        <is>
          <t>#</t>
        </is>
      </c>
      <c r="B4" s="6" t="inlineStr">
        <is>
          <t>Assembly</t>
        </is>
      </c>
      <c r="C4" s="6" t="inlineStr">
        <is>
          <t>File</t>
        </is>
      </c>
      <c r="D4" s="6" t="inlineStr">
        <is>
          <t>Qty</t>
        </is>
      </c>
      <c r="E4" s="6" t="inlineStr">
        <is>
          <t>Print</t>
        </is>
      </c>
    </row>
    <row r="5">
      <c r="A5" s="26" t="n">
        <v>1</v>
      </c>
      <c r="B5" s="27" t="inlineStr">
        <is>
          <t>Head</t>
        </is>
      </c>
      <c r="C5" s="27" t="inlineStr">
        <is>
          <t>Head/Rev4/stl/HueyHeadR4-GripBearingCoupons.stl</t>
        </is>
      </c>
      <c r="D5" s="26" t="n">
        <v>1</v>
      </c>
      <c r="E5" s="27" t="inlineStr">
        <is>
          <t>Flat, labels up. Optional: checks the head's 25.2 mm tube bore on the carbon tube (the grip now rides on O-rings)</t>
        </is>
      </c>
    </row>
    <row r="6">
      <c r="A6" s="26" t="n">
        <v>2</v>
      </c>
      <c r="B6" s="27" t="inlineStr">
        <is>
          <t>Head</t>
        </is>
      </c>
      <c r="C6" s="27" t="inlineStr">
        <is>
          <t>Head/Rev4/stl/HueyHeadR4-ORingCoupon.stl</t>
        </is>
      </c>
      <c r="D6" s="26" t="n">
        <v>1</v>
      </c>
      <c r="E6" s="27" t="inlineStr">
        <is>
          <t>Upright. A slice of the grip's bore with one O-ring groove: fit a greased 24 x 2 O-ring and slide it on the carbon tube before printing the grip (about 2 g)</t>
        </is>
      </c>
    </row>
    <row r="7">
      <c r="A7" s="26" t="n">
        <v>3</v>
      </c>
      <c r="B7" s="27" t="inlineStr">
        <is>
          <t>Head</t>
        </is>
      </c>
      <c r="C7" s="27" t="inlineStr">
        <is>
          <t>Head/Rev4/stl/HueyHeadR4-SensorSeatCoupon.stl</t>
        </is>
      </c>
      <c r="D7" s="26" t="n">
        <v>1</v>
      </c>
      <c r="E7" s="27" t="inlineStr">
        <is>
          <t>The same way round as in the head on its rear wall. Optional: slide the AS5600 module through it first</t>
        </is>
      </c>
    </row>
    <row r="8">
      <c r="A8" s="26" t="n">
        <v>4</v>
      </c>
      <c r="B8" s="27" t="inlineStr">
        <is>
          <t>Head</t>
        </is>
      </c>
      <c r="C8" s="27" t="inlineStr">
        <is>
          <t>Head/Rev4/stl/HueyHeadR4-Body.stl</t>
        </is>
      </c>
      <c r="D8" s="26" t="n">
        <v>1</v>
      </c>
      <c r="E8" s="27" t="inlineStr">
        <is>
          <t>One piece: box, neck, faux friction knob, boss, sensor pod and trigger mount. On its rear wall, with tree supports under the neck, knob and tube bore; then ream the bore to a press fit on the tube</t>
        </is>
      </c>
    </row>
    <row r="9">
      <c r="A9" s="26" t="n">
        <v>5</v>
      </c>
      <c r="B9" s="27" t="inlineStr">
        <is>
          <t>Head</t>
        </is>
      </c>
      <c r="C9" s="27" t="inlineStr">
        <is>
          <t>Head/Rev4/stl/HueyHeadR4-LowerPanel-Black.stl + -WhiteText.stl</t>
        </is>
      </c>
      <c r="D9" s="26" t="n">
        <v>1</v>
      </c>
      <c r="E9" s="27" t="inlineStr">
        <is>
          <t>Front face down, two colours</t>
        </is>
      </c>
    </row>
    <row r="10">
      <c r="A10" s="26" t="n">
        <v>6</v>
      </c>
      <c r="B10" s="27" t="inlineStr">
        <is>
          <t>Head</t>
        </is>
      </c>
      <c r="C10" s="27" t="inlineStr">
        <is>
          <t>Head/Rev4/stl/HueyHeadR4-UpperPanel-Black.stl + -WhiteText.stl</t>
        </is>
      </c>
      <c r="D10" s="26" t="n">
        <v>1</v>
      </c>
      <c r="E10" s="27" t="inlineStr">
        <is>
          <t>Front face down, two colours</t>
        </is>
      </c>
    </row>
    <row r="11">
      <c r="A11" s="26" t="n">
        <v>7</v>
      </c>
      <c r="B11" s="27" t="inlineStr">
        <is>
          <t>Head</t>
        </is>
      </c>
      <c r="C11" s="27" t="inlineStr">
        <is>
          <t>Head/Rev4/stl/HueyHeadR4-Trigger.stl</t>
        </is>
      </c>
      <c r="D11" s="26" t="n">
        <v>1</v>
      </c>
      <c r="E11" s="27" t="inlineStr">
        <is>
          <t>On either flat side</t>
        </is>
      </c>
    </row>
    <row r="12">
      <c r="A12" s="26" t="n">
        <v>8</v>
      </c>
      <c r="B12" s="27" t="inlineStr">
        <is>
          <t>Head</t>
        </is>
      </c>
      <c r="C12" s="27" t="inlineStr">
        <is>
          <t>Head/Rev4/stl/HueyHeadR4-SearchHat.stl</t>
        </is>
      </c>
      <c r="D12" s="26" t="n">
        <v>1</v>
      </c>
      <c r="E12" s="27" t="inlineStr">
        <is>
          <t>On its flat bottom ring</t>
        </is>
      </c>
    </row>
    <row r="13">
      <c r="A13" s="26" t="n">
        <v>9</v>
      </c>
      <c r="B13" s="27" t="inlineStr">
        <is>
          <t>Head</t>
        </is>
      </c>
      <c r="C13" s="27" t="inlineStr">
        <is>
          <t>MkII original: 4way_Cover.stl, Bezel.stl, StickRetainer.stl, one ThumbStick-*.stl</t>
        </is>
      </c>
      <c r="D13" s="26" t="n">
        <v>1</v>
      </c>
      <c r="E13" s="27" t="inlineStr">
        <is>
          <t>The 4-way hat's parts, from the Thingiverse 5226353 head files (not in this folder). The ThumbStick comes in 4.5 to 5.8 mm, set by the switch's height: the TE 1825910-6 is 5.0 mm to the top of its button (datasheet), so print the 4.8 and the 5.3 and keep the one that clicks cleanly with no preload</t>
        </is>
      </c>
    </row>
    <row r="14">
      <c r="A14" s="26" t="n">
        <v>10</v>
      </c>
      <c r="B14" s="27" t="inlineStr">
        <is>
          <t>Head</t>
        </is>
      </c>
      <c r="C14" s="27" t="inlineStr">
        <is>
          <t>Head/Rev4/stl/HueyHeadR4-ThrottleGrip.stl</t>
        </is>
      </c>
      <c r="D14" s="26" t="n">
        <v>1</v>
      </c>
      <c r="E14" s="27" t="inlineStr">
        <is>
          <t>Upright, bottom end down; no supports</t>
        </is>
      </c>
    </row>
    <row r="15">
      <c r="A15" s="26" t="n">
        <v>11</v>
      </c>
      <c r="B15" s="27" t="inlineStr">
        <is>
          <t>Head</t>
        </is>
      </c>
      <c r="C15" s="27" t="inlineStr">
        <is>
          <t>Head/Rev4/stl/HueyHeadR4-FrictionCollar.stl</t>
        </is>
      </c>
      <c r="D15" s="26" t="n">
        <v>1</v>
      </c>
      <c r="E15" s="27" t="inlineStr">
        <is>
          <t>Bottom face down, O-ring groove up</t>
        </is>
      </c>
    </row>
    <row r="16">
      <c r="A16" s="26" t="n">
        <v>12</v>
      </c>
      <c r="B16" s="27" t="inlineStr">
        <is>
          <t>Head</t>
        </is>
      </c>
      <c r="C16" s="27" t="inlineStr">
        <is>
          <t>Head/Rev4/stl/HueyHeadR4-Pinion.stl</t>
        </is>
      </c>
      <c r="D16" s="26" t="n">
        <v>1</v>
      </c>
      <c r="E16" s="27" t="inlineStr">
        <is>
          <t>Flat; the magnet shaft presses into its hex</t>
        </is>
      </c>
    </row>
    <row r="17">
      <c r="A17" s="26" t="n">
        <v>13</v>
      </c>
      <c r="B17" s="27" t="inlineStr">
        <is>
          <t>Head</t>
        </is>
      </c>
      <c r="C17" s="27" t="inlineStr">
        <is>
          <t>Head/Rev4/stl/HueyHeadR4-MagnetShaft.stl</t>
        </is>
      </c>
      <c r="D17" s="26" t="n">
        <v>1</v>
      </c>
      <c r="E17" s="27" t="inlineStr">
        <is>
          <t>Cap face down, pin up</t>
        </is>
      </c>
    </row>
    <row r="18">
      <c r="A18" s="26" t="n">
        <v>14</v>
      </c>
      <c r="B18" s="27" t="inlineStr">
        <is>
          <t>Base</t>
        </is>
      </c>
      <c r="C18" s="27" t="inlineStr">
        <is>
          <t>Base/stl/coupons/coupon_trunnion.stl, coupon_bearing_seat.stl, coupon_tube_socket.stl</t>
        </is>
      </c>
      <c r="D18" s="26" t="n">
        <v>1</v>
      </c>
      <c r="E18" s="27" t="inlineStr">
        <is>
          <t>Fit-test coupons: print first and tune mk3_pivot.py (the socket with the carbon tube)</t>
        </is>
      </c>
    </row>
    <row r="19">
      <c r="A19" s="26" t="n">
        <v>15</v>
      </c>
      <c r="B19" s="27" t="inlineStr">
        <is>
          <t>Base</t>
        </is>
      </c>
      <c r="C19" s="27" t="inlineStr">
        <is>
          <t>Base/stl/frame.stl</t>
        </is>
      </c>
      <c r="D19" s="26" t="n">
        <v>1</v>
      </c>
      <c r="E19" s="27" t="inlineStr">
        <is>
          <t>Plate down</t>
        </is>
      </c>
    </row>
    <row r="20">
      <c r="A20" s="26" t="n">
        <v>16</v>
      </c>
      <c r="B20" s="27" t="inlineStr">
        <is>
          <t>Base</t>
        </is>
      </c>
      <c r="C20" s="27" t="inlineStr">
        <is>
          <t>Base/stl/lever_lower.stl</t>
        </is>
      </c>
      <c r="D20" s="26" t="n">
        <v>1</v>
      </c>
      <c r="E20" s="27" t="inlineStr">
        <is>
          <t>On its joint face</t>
        </is>
      </c>
    </row>
    <row r="21">
      <c r="A21" s="26" t="n">
        <v>17</v>
      </c>
      <c r="B21" s="27" t="inlineStr">
        <is>
          <t>Base</t>
        </is>
      </c>
      <c r="C21" s="27" t="inlineStr">
        <is>
          <t>Base/stl/lever_upper.stl</t>
        </is>
      </c>
      <c r="D21" s="26" t="n">
        <v>1</v>
      </c>
      <c r="E21" s="27" t="inlineStr">
        <is>
          <t>On its joint face</t>
        </is>
      </c>
    </row>
    <row r="22">
      <c r="A22" s="26" t="n">
        <v>18</v>
      </c>
      <c r="B22" s="27" t="inlineStr">
        <is>
          <t>Base</t>
        </is>
      </c>
      <c r="C22" s="27" t="inlineStr">
        <is>
          <t>Base/stl/cap_left.stl, cap_right.stl</t>
        </is>
      </c>
      <c r="D22" s="26" t="n">
        <v>1</v>
      </c>
      <c r="E22" s="27" t="inlineStr">
        <is>
          <t>One each</t>
        </is>
      </c>
    </row>
    <row r="23">
      <c r="A23" s="26" t="n">
        <v>19</v>
      </c>
      <c r="B23" s="27" t="inlineStr">
        <is>
          <t>Base</t>
        </is>
      </c>
      <c r="C23" s="27" t="inlineStr">
        <is>
          <t>Base/stl/cover_cable.stl, cover_sensor.stl</t>
        </is>
      </c>
      <c r="D23" s="26" t="n">
        <v>1</v>
      </c>
      <c r="E23" s="27" t="inlineStr">
        <is>
          <t>One each</t>
        </is>
      </c>
    </row>
    <row r="24">
      <c r="A24" s="26" t="n">
        <v>20</v>
      </c>
      <c r="B24" s="27" t="inlineStr">
        <is>
          <t>Base</t>
        </is>
      </c>
      <c r="C24" s="27" t="inlineStr">
        <is>
          <t>Base/stl/cable_plug.stl</t>
        </is>
      </c>
      <c r="D24" s="26" t="n">
        <v>1</v>
      </c>
      <c r="E24" s="27" t="inlineStr">
        <is>
          <t>On a long flat face. Fills the cable cover's slot once the USB cable is in</t>
        </is>
      </c>
    </row>
    <row r="25">
      <c r="A25" s="26" t="n">
        <v>21</v>
      </c>
      <c r="B25" s="27" t="inlineStr">
        <is>
          <t>Base</t>
        </is>
      </c>
      <c r="C25" s="27" t="inlineStr">
        <is>
          <t>Base/stl/sensor_carrier.stl</t>
        </is>
      </c>
      <c r="D25" s="26" t="n">
        <v>1</v>
      </c>
      <c r="E25" s="27" t="inlineStr"/>
    </row>
    <row r="26">
      <c r="A26" s="26" t="n">
        <v>22</v>
      </c>
      <c r="B26" s="27" t="inlineStr">
        <is>
          <t>Base</t>
        </is>
      </c>
      <c r="C26" s="27" t="inlineStr">
        <is>
          <t>Base/stl/shoe.stl</t>
        </is>
      </c>
      <c r="D26" s="26" t="n">
        <v>1</v>
      </c>
      <c r="E26" s="27" t="inlineStr"/>
    </row>
    <row r="27">
      <c r="A27" s="26" t="n">
        <v>23</v>
      </c>
      <c r="B27" s="27" t="inlineStr">
        <is>
          <t>Base</t>
        </is>
      </c>
      <c r="C27" s="27" t="inlineStr">
        <is>
          <t>Base/stl/strut_collar.stl</t>
        </is>
      </c>
      <c r="D27" s="26" t="n">
        <v>1</v>
      </c>
      <c r="E27" s="27" t="inlineStr">
        <is>
          <t>Standing on one end</t>
        </is>
      </c>
    </row>
    <row r="28">
      <c r="A28" s="26" t="n">
        <v>24</v>
      </c>
      <c r="B28" s="27" t="inlineStr">
        <is>
          <t>Base</t>
        </is>
      </c>
      <c r="C28" s="27" t="inlineStr">
        <is>
          <t>Base/stl/friction_knob.stl</t>
        </is>
      </c>
      <c r="D28" s="26" t="n">
        <v>1</v>
      </c>
      <c r="E28" s="27" t="inlineStr">
        <is>
          <t>Top face down; glue the M5 x 20's head into it</t>
        </is>
      </c>
    </row>
  </sheetData>
  <mergeCells count="1">
    <mergeCell ref="A2:E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27"/>
  <sheetViews>
    <sheetView workbookViewId="0">
      <selection activeCell="A1" sqref="A1"/>
    </sheetView>
  </sheetViews>
  <sheetFormatPr baseColWidth="8" defaultRowHeight="15"/>
  <cols>
    <col width="4" customWidth="1" min="1" max="1"/>
    <col width="50" customWidth="1" min="2" max="2"/>
    <col width="6" customWidth="1" min="3" max="3"/>
    <col width="60" customWidth="1" min="4" max="4"/>
    <col width="40" customWidth="1" min="5" max="5"/>
  </cols>
  <sheetData>
    <row r="1">
      <c r="A1" s="1" t="inlineStr">
        <is>
          <t>Heli Collective - dropped from earlier BOMs</t>
        </is>
      </c>
    </row>
    <row r="2" ht="44" customHeight="1">
      <c r="A2" s="2" t="inlineStr">
        <is>
          <t>Lines in the Rev 3.0 board's full BOM, the Digi-Key cart or earlier head and base revisions that this build doesn't use. Take them out of the cart if they're still in it.</t>
        </is>
      </c>
    </row>
    <row r="4" ht="30" customHeight="1">
      <c r="A4" s="6" t="inlineStr">
        <is>
          <t>#</t>
        </is>
      </c>
      <c r="B4" s="6" t="inlineStr">
        <is>
          <t>Item</t>
        </is>
      </c>
      <c r="C4" s="6" t="inlineStr">
        <is>
          <t>Qty</t>
        </is>
      </c>
      <c r="D4" s="6" t="inlineStr">
        <is>
          <t>Why</t>
        </is>
      </c>
      <c r="E4" s="6" t="inlineStr">
        <is>
          <t>Was in</t>
        </is>
      </c>
    </row>
    <row r="5">
      <c r="A5" s="26" t="n">
        <v>1</v>
      </c>
      <c r="B5" s="27" t="inlineStr">
        <is>
          <t>Glue, thread-lock, taps, drill bit, felt tape, hose clamp, 10 mm spring, #10 desk screws</t>
        </is>
      </c>
      <c r="C5" s="26" t="inlineStr"/>
      <c r="D5" s="27" t="inlineStr">
        <is>
          <t>You supply these yourself</t>
        </is>
      </c>
      <c r="E5" s="27" t="inlineStr">
        <is>
          <t>User, 2026-10-23</t>
        </is>
      </c>
    </row>
    <row r="6">
      <c r="A6" s="26" t="n">
        <v>2</v>
      </c>
      <c r="B6" s="27" t="inlineStr">
        <is>
          <t>Fgruh M3 and M4 socket-cap screw kits, M3 x 10 / M4 x 30 / M5 x 40 countersunk packs, M6 x 25 and M6 x 30 bolts, M6 and M4 nyloc nuts, uxcell M5 x 5 set screws, heat-set inserts and insert tips</t>
        </is>
      </c>
      <c r="C6" s="26" t="inlineStr"/>
      <c r="D6" s="27" t="inlineStr">
        <is>
          <t>Every screw and nut now comes from the AvrestYPT and set screw kits (2026-10-23): the CAD was changed to suit them</t>
        </is>
      </c>
      <c r="E6" s="27" t="inlineStr">
        <is>
          <t>User, 2026-10-23</t>
        </is>
      </c>
    </row>
    <row r="7">
      <c r="A7" s="26" t="n">
        <v>3</v>
      </c>
      <c r="B7" s="27" t="inlineStr">
        <is>
          <t>MkII-AdjustKnob.stl (friction knob)</t>
        </is>
      </c>
      <c r="C7" s="26" t="n">
        <v>1</v>
      </c>
      <c r="D7" s="27" t="inlineStr">
        <is>
          <t>Took an M6 hex head; the base now prints its own knob for the M5 x 20</t>
        </is>
      </c>
      <c r="E7" s="27" t="inlineStr">
        <is>
          <t>Base/mk3_pivot.py</t>
        </is>
      </c>
    </row>
    <row r="8">
      <c r="A8" s="26" t="n">
        <v>4</v>
      </c>
      <c r="B8" s="27" t="inlineStr">
        <is>
          <t>SparkFun Pro Micro 12640 (Digi-Key 1568-12640-ND)</t>
        </is>
      </c>
      <c r="C8" s="26" t="n">
        <v>1</v>
      </c>
      <c r="D8" s="27" t="inlineStr">
        <is>
          <t>Replaced by the OSOYOO USB-C Pro Micro from Amazon</t>
        </is>
      </c>
      <c r="E8" s="27" t="inlineStr">
        <is>
          <t>PCB/HeliSR_Rev3.0/HeliSR_Rev3.0_BOM.xlsx (Digi-Key cart)</t>
        </is>
      </c>
    </row>
    <row r="9">
      <c r="A9" s="26" t="n">
        <v>5</v>
      </c>
      <c r="B9" s="27" t="inlineStr">
        <is>
          <t>Sullins PRPC012SAAN-RC male headers (Digi-Key 35-PRPC012SAAN-RC-ND)</t>
        </is>
      </c>
      <c r="C9" s="26" t="n">
        <v>2</v>
      </c>
      <c r="D9" s="27" t="inlineStr">
        <is>
          <t>The OSOYOO Pro Micro comes with header pins</t>
        </is>
      </c>
      <c r="E9" s="27" t="inlineStr">
        <is>
          <t>PCB/HeliSR_Rev3.0/HeliSR_Rev3.0_BOM.xlsx (Digi-Key cart)</t>
        </is>
      </c>
    </row>
    <row r="10">
      <c r="A10" s="26" t="n">
        <v>6</v>
      </c>
      <c r="B10" s="27" t="inlineStr">
        <is>
          <t>Assmann AK67421-2 USB A to micro-B cable</t>
        </is>
      </c>
      <c r="C10" s="26" t="n">
        <v>1</v>
      </c>
      <c r="D10" s="27" t="inlineStr">
        <is>
          <t>The OSOYOO Pro Micro is USB-C</t>
        </is>
      </c>
      <c r="E10" s="27" t="inlineStr">
        <is>
          <t>PCB/HeliSR_Rev3.0/HeliSR_Rev3.0_BOM.xlsx (Digi-Key cart)</t>
        </is>
      </c>
    </row>
    <row r="11">
      <c r="A11" s="26" t="n">
        <v>7</v>
      </c>
      <c r="B11" s="27" t="inlineStr">
        <is>
          <t>E-Switch PS1024ABLK push button (EG2011-ND)</t>
        </is>
      </c>
      <c r="C11" s="26" t="n">
        <v>2</v>
      </c>
      <c r="D11" s="27" t="inlineStr">
        <is>
          <t>The head removed the two lower-panel push buttons</t>
        </is>
      </c>
      <c r="E11" s="27" t="inlineStr">
        <is>
          <t>PCB/HeliSR_Rev3.0/HeliSR_Rev3.0_BOM.xlsx (Digi-Key cart)</t>
        </is>
      </c>
    </row>
    <row r="12">
      <c r="A12" s="26" t="n">
        <v>8</v>
      </c>
      <c r="B12" s="27" t="inlineStr">
        <is>
          <t>TT P0915N-QC20BR5K 5 k pot (987-1278-ND)</t>
        </is>
      </c>
      <c r="C12" s="26" t="n">
        <v>2</v>
      </c>
      <c r="D12" s="27" t="inlineStr">
        <is>
          <t>No head-knob pot any more; the throttle is read by an AS5600</t>
        </is>
      </c>
      <c r="E12" s="27" t="inlineStr">
        <is>
          <t>PCB/HeliSR_Rev3.0/HeliSR_Rev3.0_BOM.xlsx (Digi-Key cart)</t>
        </is>
      </c>
    </row>
    <row r="13">
      <c r="A13" s="26" t="n">
        <v>9</v>
      </c>
      <c r="B13" s="27" t="inlineStr">
        <is>
          <t>Knob for a 6 mm knurled shaft (Cliff FC7257)</t>
        </is>
      </c>
      <c r="C13" s="26" t="n">
        <v>1</v>
      </c>
      <c r="D13" s="27" t="inlineStr">
        <is>
          <t>Went with the head-knob pot</t>
        </is>
      </c>
      <c r="E13" s="27" t="inlineStr">
        <is>
          <t>PCB/HeliSR_Rev3.0/HeliSR_Rev3.0_BOM.xlsx (Digi-Key cart)</t>
        </is>
      </c>
    </row>
    <row r="14">
      <c r="A14" s="26" t="n">
        <v>10</v>
      </c>
      <c r="B14" s="27" t="inlineStr">
        <is>
          <t>TI DRV5055A4 / A2 Hall sensors, KEMET axial 100 nF</t>
        </is>
      </c>
      <c r="C14" s="26" t="n">
        <v>3</v>
      </c>
      <c r="D14" s="27" t="inlineStr">
        <is>
          <t>MkII base only; the MkIII base uses an AS5600</t>
        </is>
      </c>
      <c r="E14" s="27" t="inlineStr">
        <is>
          <t>PCB/HeliSR_Rev3.0/HeliSR_Rev3.0_BOM.xlsx (Digi-Key cart)</t>
        </is>
      </c>
    </row>
    <row r="15">
      <c r="A15" s="26" t="n">
        <v>11</v>
      </c>
      <c r="B15" s="27" t="inlineStr">
        <is>
          <t>APEM MJTP1230A / G / F tactile switches (Digi-Key 679-2429-ND, 679-2435-ND, 679-2434-ND)</t>
        </is>
      </c>
      <c r="C15" s="26" t="n">
        <v>3</v>
      </c>
      <c r="D15" s="27" t="inlineStr">
        <is>
          <t>The TE 1825910-6 covers all five tactile inputs</t>
        </is>
      </c>
      <c r="E15" s="27" t="inlineStr">
        <is>
          <t>Digi-Key cart, 2026-10-22</t>
        </is>
      </c>
    </row>
    <row r="16">
      <c r="A16" s="26" t="n">
        <v>12</v>
      </c>
      <c r="B16" s="27" t="inlineStr">
        <is>
          <t>Keystone 941 micro-B plug (Digi-Key 36-941-ND)</t>
        </is>
      </c>
      <c r="C16" s="26" t="n">
        <v>1</v>
      </c>
      <c r="D16" s="27" t="inlineStr">
        <is>
          <t>The Pro Micro is USB-C</t>
        </is>
      </c>
      <c r="E16" s="27" t="inlineStr">
        <is>
          <t>Digi-Key cart, 2026-10-22</t>
        </is>
      </c>
    </row>
    <row r="17">
      <c r="A17" s="26" t="n">
        <v>13</v>
      </c>
      <c r="B17" s="27" t="inlineStr">
        <is>
          <t>Samsung CL10B104KB8WPNC 0.1 uF 0603 cap (Digi-Key 1276-6854-1-ND)</t>
        </is>
      </c>
      <c r="C17" s="26" t="n">
        <v>1</v>
      </c>
      <c r="D17" s="27" t="inlineStr">
        <is>
          <t>The board uses 1206 caps</t>
        </is>
      </c>
      <c r="E17" s="27" t="inlineStr">
        <is>
          <t>Digi-Key cart, 2026-10-22</t>
        </is>
      </c>
    </row>
    <row r="18">
      <c r="A18" s="26" t="n">
        <v>14</v>
      </c>
      <c r="B18" s="27" t="inlineStr">
        <is>
          <t>Qualtek 3021017-10 USB-A to open-end cable, 10 ft (Digi-Key Q369-ND)</t>
        </is>
      </c>
      <c r="C18" s="26" t="n">
        <v>1</v>
      </c>
      <c r="D18" s="27" t="inlineStr">
        <is>
          <t>The Stewart A-to-C cable, cut and spliced, replaces it</t>
        </is>
      </c>
      <c r="E18" s="27" t="inlineStr">
        <is>
          <t>Digi-Key cart, 2026-10-22</t>
        </is>
      </c>
    </row>
    <row r="19">
      <c r="A19" s="26" t="n">
        <v>15</v>
      </c>
      <c r="B19" s="27" t="inlineStr">
        <is>
          <t>USB-C male plug (loose) and hookup wire</t>
        </is>
      </c>
      <c r="C19" s="26" t="n">
        <v>1</v>
      </c>
      <c r="D19" s="27" t="inlineStr">
        <is>
          <t>The plug comes on the Stewart cable; you already have hookup wire, heat-shrink and solder</t>
        </is>
      </c>
      <c r="E19" s="27" t="inlineStr">
        <is>
          <t>Earlier BOM draft</t>
        </is>
      </c>
    </row>
    <row r="20">
      <c r="A20" s="26" t="n">
        <v>16</v>
      </c>
      <c r="B20" s="27" t="inlineStr">
        <is>
          <t>TE 2495152-1 USB-C plug</t>
        </is>
      </c>
      <c r="C20" s="26" t="n">
        <v>1</v>
      </c>
      <c r="D20" s="27" t="inlineStr">
        <is>
          <t>Board-edge part with no solder cups: needs its own PCB</t>
        </is>
      </c>
      <c r="E20" s="27" t="inlineStr">
        <is>
          <t>User question, 2026-10-23</t>
        </is>
      </c>
    </row>
    <row r="21">
      <c r="A21" s="26" t="n">
        <v>17</v>
      </c>
      <c r="B21" s="27" t="inlineStr">
        <is>
          <t>JST SR 3-pin jumpers beyond 2</t>
        </is>
      </c>
      <c r="C21" s="26" t="n">
        <v>2</v>
      </c>
      <c r="D21" s="27" t="inlineStr">
        <is>
          <t>The full BOM had 4 (one per AX connector); only AX1 and AX4 are wired now</t>
        </is>
      </c>
      <c r="E21" s="27" t="inlineStr">
        <is>
          <t>PCB/HeliSR_Rev3.0/HeliSR_Rev3.0_BOM.xlsx (Digi-Key cart)</t>
        </is>
      </c>
    </row>
    <row r="22">
      <c r="A22" s="26" t="n">
        <v>18</v>
      </c>
      <c r="B22" s="27" t="inlineStr">
        <is>
          <t>JST BM03B-SRSS-TBT: the cart has 3</t>
        </is>
      </c>
      <c r="C22" s="26" t="inlineStr"/>
      <c r="D22" s="27" t="inlineStr">
        <is>
          <t>A note, not dropped: the board has 4 footprints (J11-J14); this BOM orders 4</t>
        </is>
      </c>
      <c r="E22" s="27" t="inlineStr">
        <is>
          <t>Digi-Key cart, 2026-10-22</t>
        </is>
      </c>
    </row>
    <row r="23">
      <c r="A23" s="26" t="n">
        <v>19</v>
      </c>
      <c r="B23" s="27" t="inlineStr">
        <is>
          <t>MkII collective hardware (base, head bolts, springs, magnets)</t>
        </is>
      </c>
      <c r="C23" s="26" t="inlineStr"/>
      <c r="D23" s="27" t="inlineStr">
        <is>
          <t>The MkII base is replaced by the MkIII Rev 3</t>
        </is>
      </c>
      <c r="E23" s="27" t="inlineStr">
        <is>
          <t>HeliSR_Rev3.0_BOM.xlsx, sheet 2</t>
        </is>
      </c>
    </row>
    <row r="24">
      <c r="A24" s="26" t="n">
        <v>20</v>
      </c>
      <c r="B24" s="27" t="inlineStr">
        <is>
          <t>25 x 1 mm aluminium tube, 358 mm</t>
        </is>
      </c>
      <c r="C24" s="26" t="n">
        <v>1</v>
      </c>
      <c r="D24" s="27" t="inlineStr">
        <is>
          <t>Replaced by the base's 470 mm carbon tube</t>
        </is>
      </c>
      <c r="E24" s="27" t="inlineStr">
        <is>
          <t>Head/README.md (before)</t>
        </is>
      </c>
    </row>
    <row r="25">
      <c r="A25" s="26" t="n">
        <v>21</v>
      </c>
      <c r="B25" s="27" t="inlineStr">
        <is>
          <t>Ballast bucket, lid, ~0.95 kg ballast, 4 x M4 bucket bolts + inserts, lid M3 screws + inserts</t>
        </is>
      </c>
      <c r="C25" s="26" t="inlineStr"/>
      <c r="D25" s="27" t="inlineStr">
        <is>
          <t>Base Rev 3 balances with the gas strut</t>
        </is>
      </c>
      <c r="E25" s="27" t="inlineStr">
        <is>
          <t>Base/README.md, Bought parts</t>
        </is>
      </c>
    </row>
    <row r="26">
      <c r="A26" s="26" t="n">
        <v>22</v>
      </c>
      <c r="B26" s="27" t="inlineStr">
        <is>
          <t>Quadrant stop block, thumb knob, M5 x 16 stop bolt + nut, M6 striker + insert</t>
        </is>
      </c>
      <c r="C26" s="26" t="inlineStr"/>
      <c r="D26" s="27" t="inlineStr">
        <is>
          <t>Base Rev 3 has a fixed 32 deg stop</t>
        </is>
      </c>
      <c r="E26" s="27" t="inlineStr">
        <is>
          <t>Base/README.md, Bought parts</t>
        </is>
      </c>
    </row>
    <row r="27">
      <c r="A27" s="26" t="n">
        <v>23</v>
      </c>
      <c r="B27" s="27" t="inlineStr">
        <is>
          <t>Rev 1 centre down-stop screw, nut and insert</t>
        </is>
      </c>
      <c r="C27" s="26" t="inlineStr"/>
      <c r="D27" s="27" t="inlineStr">
        <is>
          <t>Base Rev 3 uses two down-stop posts beside the strut</t>
        </is>
      </c>
      <c r="E27" s="27" t="inlineStr">
        <is>
          <t>Base/mk3_rev3.py</t>
        </is>
      </c>
    </row>
  </sheetData>
  <mergeCells count="1">
    <mergeCell ref="A2:E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8"/>
  <sheetViews>
    <sheetView workbookViewId="0">
      <selection activeCell="A1" sqref="A1"/>
    </sheetView>
  </sheetViews>
  <sheetFormatPr baseColWidth="8" defaultRowHeight="15"/>
  <cols>
    <col width="22" customWidth="1" min="1" max="1"/>
    <col width="70" customWidth="1" min="2" max="2"/>
    <col width="60" customWidth="1" min="3" max="3"/>
  </cols>
  <sheetData>
    <row r="1">
      <c r="A1" s="1" t="inlineStr">
        <is>
          <t>Heli Collective - sources</t>
        </is>
      </c>
    </row>
    <row r="2" ht="44" customHeight="1">
      <c r="A2" s="2" t="inlineStr">
        <is>
          <t>Where each part of this BOM comes from. Regenerate with BOM/make_final_bom.py.</t>
        </is>
      </c>
    </row>
    <row r="4" ht="30" customHeight="1">
      <c r="A4" s="6" t="inlineStr">
        <is>
          <t>Part</t>
        </is>
      </c>
      <c r="B4" s="6" t="inlineStr">
        <is>
          <t>Folder or document</t>
        </is>
      </c>
      <c r="C4" s="6" t="inlineStr">
        <is>
          <t>Status</t>
        </is>
      </c>
    </row>
    <row r="5">
      <c r="A5" s="27" t="inlineStr">
        <is>
          <t>HeliSR Rev 3.0 board</t>
        </is>
      </c>
      <c r="B5" s="27" t="inlineStr">
        <is>
          <t>PCB/HeliSR_Rev3.0</t>
        </is>
      </c>
      <c r="C5" s="27" t="inlineStr">
        <is>
          <t>Bare PCB ordered from OSH Park on 2026-10-21; folder frozen and read-only</t>
        </is>
      </c>
    </row>
    <row r="6">
      <c r="A6" s="27" t="inlineStr">
        <is>
          <t>Huey head</t>
        </is>
      </c>
      <c r="B6" s="27" t="inlineStr">
        <is>
          <t>Head/Rev4</t>
        </is>
      </c>
      <c r="C6" s="27" t="inlineStr">
        <is>
          <t>Current head design: Rev 4, one piece (Rev 3 with its neck block and trigger mount built back into the box). Rev 3 (Head/Rev3) is the same head in three parts, with no supports; Rev 2 (Head/) is superseded</t>
        </is>
      </c>
    </row>
    <row r="7">
      <c r="A7" s="27" t="inlineStr">
        <is>
          <t>MkIII base Rev 3</t>
        </is>
      </c>
      <c r="B7" s="27" t="inlineStr">
        <is>
          <t>Base (Base/mk3_rev3.py imports Base/mk3_pivot.py)</t>
        </is>
      </c>
      <c r="C7" s="27" t="inlineStr">
        <is>
          <t>Concept, nothing printed yet: check the orange lines</t>
        </is>
      </c>
    </row>
    <row r="8">
      <c r="A8" s="27" t="inlineStr">
        <is>
          <t>Prices</t>
        </is>
      </c>
      <c r="B8" s="27" t="inlineStr">
        <is>
          <t>Digi-Key cart 2026-10-19 (JST headers 2026-10-22); Amazon listings 2026-10-22; OSH Park order 2026-10-21</t>
        </is>
      </c>
      <c r="C8" s="27" t="inlineStr">
        <is>
          <t>Pack prices, before shipping and tariff</t>
        </is>
      </c>
    </row>
  </sheetData>
  <mergeCells count="1">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2026-10-24T17:26:03Z</dcterms:created>
  <dcterms:modified xsi:type="dcterms:W3CDTF">2026-10-24T17:26:04Z</dcterms:modified>
</cp:coreProperties>
</file>